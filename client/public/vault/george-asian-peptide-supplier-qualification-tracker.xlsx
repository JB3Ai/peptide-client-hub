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Manufacturer Screen" sheetId="2" state="visible" r:id="rId2"/>
    <sheet xmlns:r="http://schemas.openxmlformats.org/officeDocument/2006/relationships" name="Laboratory Screen" sheetId="3" state="visible" r:id="rId3"/>
    <sheet xmlns:r="http://schemas.openxmlformats.org/officeDocument/2006/relationships" name="RFI Tracker" sheetId="4" state="visible" r:id="rId4"/>
    <sheet xmlns:r="http://schemas.openxmlformats.org/officeDocument/2006/relationships" name="90-Day Plan" sheetId="5" state="visible" r:id="rId5"/>
    <sheet xmlns:r="http://schemas.openxmlformats.org/officeDocument/2006/relationships" name="Risk &amp; No-Go" sheetId="6" state="visible" r:id="rId6"/>
    <sheet xmlns:r="http://schemas.openxmlformats.org/officeDocument/2006/relationships" name="Source Register" sheetId="7" state="visible" r:id="rId7"/>
  </sheets>
  <definedNames>
    <definedName name="_xlnm.Print_Area" localSheetId="0">'Overview'!$B$2:$L$44</definedName>
    <definedName name="_xlnm._FilterDatabase" localSheetId="1" hidden="1">'Manufacturer Screen'!$C$8:$S$18</definedName>
    <definedName name="_xlnm.Print_Area" localSheetId="1">'Manufacturer Screen'!$B$2:$S$29</definedName>
    <definedName name="_xlnm._FilterDatabase" localSheetId="2" hidden="1">'Laboratory Screen'!$C$8:$P$12</definedName>
    <definedName name="_xlnm.Print_Area" localSheetId="2">'Laboratory Screen'!$B$2:$P$25</definedName>
    <definedName name="_xlnm._FilterDatabase" localSheetId="3" hidden="1">'RFI Tracker'!$C$8:$S$86</definedName>
    <definedName name="_xlnm.Print_Area" localSheetId="3">'RFI Tracker'!$B$2:$S$86</definedName>
    <definedName name="_xlnm._FilterDatabase" localSheetId="4" hidden="1">'90-Day Plan'!$C$8:$M$16</definedName>
    <definedName name="_xlnm.Print_Area" localSheetId="4">'90-Day Plan'!$B$2:$M$28</definedName>
    <definedName name="_xlnm._FilterDatabase" localSheetId="5" hidden="1">'Risk &amp; No-Go'!$C$8:$N$28</definedName>
    <definedName name="_xlnm.Print_Area" localSheetId="5">'Risk &amp; No-Go'!$B$2:$N$28</definedName>
    <definedName name="_xlnm._FilterDatabase" localSheetId="6" hidden="1">'Source Register'!$C$8:$I$309</definedName>
    <definedName name="_xlnm.Print_Area" localSheetId="6">'Source Register'!$B$2:$I$309</definedName>
  </definedNames>
  <calcPr calcId="124519" fullCalcOnLoad="1"/>
</workbook>
</file>

<file path=xl/styles.xml><?xml version="1.0" encoding="utf-8"?>
<styleSheet xmlns="http://schemas.openxmlformats.org/spreadsheetml/2006/main">
  <numFmts count="1">
    <numFmt numFmtId="164" formatCode="dd mmm yyyy"/>
  </numFmts>
  <fonts count="16">
    <font>
      <name val="Calibri"/>
      <family val="2"/>
      <color theme="1"/>
      <sz val="11"/>
      <scheme val="minor"/>
    </font>
    <font>
      <name val="Arial"/>
      <b val="1"/>
      <color rgb="00FFFFFF"/>
      <sz val="16"/>
    </font>
    <font>
      <name val="Arial"/>
      <b val="1"/>
      <color rgb="00FFFFFF"/>
      <sz val="10"/>
    </font>
    <font>
      <name val="Arial"/>
      <b val="1"/>
      <color rgb="00000000"/>
      <sz val="11"/>
    </font>
    <font>
      <name val="Arial"/>
      <i val="1"/>
      <color rgb="00666666"/>
      <sz val="10"/>
    </font>
    <font>
      <name val="Arial"/>
      <b val="1"/>
      <color rgb="00000000"/>
      <sz val="10"/>
    </font>
    <font>
      <name val="Arial"/>
      <color rgb="000000FF"/>
      <sz val="10"/>
    </font>
    <font>
      <name val="Arial"/>
      <b val="1"/>
      <color rgb="00000000"/>
      <sz val="9"/>
    </font>
    <font>
      <name val="Arial"/>
      <color rgb="00008000"/>
      <sz val="10"/>
    </font>
    <font>
      <name val="Arial"/>
      <b val="1"/>
      <color rgb="00008000"/>
      <sz val="20"/>
    </font>
    <font>
      <name val="Arial"/>
      <i val="1"/>
      <color rgb="00666666"/>
      <sz val="8"/>
    </font>
    <font>
      <name val="Arial"/>
      <b val="1"/>
      <color rgb="00FFFFFF"/>
      <sz val="9"/>
    </font>
    <font>
      <name val="Arial"/>
      <color rgb="00008000"/>
      <sz val="10"/>
      <u val="single"/>
    </font>
    <font>
      <name val="Arial"/>
      <color rgb="00000000"/>
      <sz val="10"/>
    </font>
    <font>
      <name val="Calibri"/>
      <family val="2"/>
      <color theme="10"/>
      <sz val="12"/>
      <scheme val="minor"/>
    </font>
    <font>
      <name val="Arial"/>
      <color rgb="000000FF"/>
      <sz val="9"/>
      <u val="single"/>
    </font>
  </fonts>
  <fills count="5">
    <fill>
      <patternFill/>
    </fill>
    <fill>
      <patternFill patternType="gray125"/>
    </fill>
    <fill>
      <patternFill patternType="solid">
        <fgColor rgb="00135B44"/>
      </patternFill>
    </fill>
    <fill>
      <patternFill patternType="solid">
        <fgColor rgb="00CFE9E0"/>
      </patternFill>
    </fill>
    <fill>
      <patternFill patternType="solid">
        <fgColor rgb="00FFF2CC"/>
      </patternFill>
    </fill>
  </fills>
  <borders count="5">
    <border>
      <left/>
      <right/>
      <top/>
      <bottom/>
      <diagonal/>
    </border>
    <border>
      <bottom style="thin">
        <color rgb="00B7B7B7"/>
      </bottom>
    </border>
    <border>
      <left style="thin">
        <color rgb="00B7B7B7"/>
      </left>
      <right style="thin">
        <color rgb="00B7B7B7"/>
      </right>
      <top style="thin">
        <color rgb="00B7B7B7"/>
      </top>
      <bottom style="thin">
        <color rgb="00B7B7B7"/>
      </bottom>
    </border>
    <border>
      <bottom style="hair">
        <color rgb="00D9D9D9"/>
      </bottom>
    </border>
    <border>
      <left style="medium">
        <color rgb="00135B44"/>
      </left>
      <right style="medium">
        <color rgb="00135B44"/>
      </right>
      <top style="medium">
        <color rgb="00135B44"/>
      </top>
      <bottom style="medium">
        <color rgb="00135B44"/>
      </bottom>
    </border>
  </borders>
  <cellStyleXfs count="2">
    <xf numFmtId="0" fontId="0" fillId="0" borderId="0"/>
    <xf numFmtId="0" fontId="14" fillId="0" borderId="0"/>
  </cellStyleXfs>
  <cellXfs count="1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0" borderId="0" pivotButton="0" quotePrefix="0" xfId="0"/>
    <xf numFmtId="0" fontId="4" fillId="0" borderId="0" pivotButton="0" quotePrefix="0" xfId="0"/>
    <xf numFmtId="0" fontId="5" fillId="3" borderId="1" pivotButton="0" quotePrefix="0" xfId="0"/>
    <xf numFmtId="0" fontId="7" fillId="0" borderId="0" pivotButton="0" quotePrefix="0" xfId="0"/>
    <xf numFmtId="3" fontId="9" fillId="0" borderId="0" pivotButton="0" quotePrefix="0" xfId="0"/>
    <xf numFmtId="0" fontId="10" fillId="0" borderId="0" pivotButton="0" quotePrefix="0" xfId="0"/>
    <xf numFmtId="0" fontId="11" fillId="2" borderId="2" applyAlignment="1" pivotButton="0" quotePrefix="0" xfId="0">
      <alignment horizontal="center" vertical="center" wrapText="1"/>
    </xf>
    <xf numFmtId="0" fontId="6" fillId="0" borderId="3" applyAlignment="1" pivotButton="0" quotePrefix="0" xfId="0">
      <alignment vertical="top" wrapText="1"/>
    </xf>
    <xf numFmtId="0" fontId="12" fillId="0" borderId="0" pivotButton="0" quotePrefix="0" xfId="0"/>
    <xf numFmtId="0" fontId="5" fillId="4" borderId="4" applyAlignment="1" pivotButton="0" quotePrefix="0" xfId="0">
      <alignment vertical="top" wrapText="1"/>
    </xf>
    <xf numFmtId="3" fontId="6" fillId="0" borderId="3" applyAlignment="1" pivotButton="0" quotePrefix="0" xfId="0">
      <alignment vertical="top" wrapText="1"/>
    </xf>
    <xf numFmtId="3" fontId="13" fillId="0" borderId="3" applyAlignment="1" pivotButton="0" quotePrefix="0" xfId="0">
      <alignment vertical="top" wrapText="1"/>
    </xf>
    <xf numFmtId="0" fontId="13" fillId="0" borderId="3" applyAlignment="1" pivotButton="0" quotePrefix="0" xfId="0">
      <alignment vertical="top" wrapText="1"/>
    </xf>
    <xf numFmtId="164" fontId="6" fillId="0" borderId="3" applyAlignment="1" pivotButton="0" quotePrefix="0" xfId="0">
      <alignment vertical="top" wrapText="1"/>
    </xf>
    <xf numFmtId="164" fontId="13" fillId="0" borderId="3" applyAlignment="1" pivotButton="0" quotePrefix="0" xfId="0">
      <alignment vertical="top" wrapText="1"/>
    </xf>
    <xf numFmtId="0" fontId="15" fillId="0" borderId="3" applyAlignment="1" pivotButton="0" quotePrefix="0" xfId="1">
      <alignment vertical="top" wrapText="1"/>
    </xf>
  </cellXfs>
  <cellStyles count="2">
    <cellStyle name="Normal" xfId="0" builtinId="0" hidden="0"/>
    <cellStyle name="Hyperlink" xfId="1" builtinId="8" hidden="0"/>
  </cellStyles>
  <dxfs count="4">
    <dxf>
      <fill>
        <patternFill patternType="solid">
          <fgColor rgb="00D9EAD3"/>
        </patternFill>
      </fill>
    </dxf>
    <dxf>
      <fill>
        <patternFill patternType="solid">
          <fgColor rgb="00FFF2CC"/>
        </patternFill>
      </fill>
    </dxf>
    <dxf>
      <fill>
        <patternFill patternType="solid">
          <fgColor rgb="00F4CCCC"/>
        </patternFill>
      </fill>
    </dxf>
    <dxf>
      <fill>
        <patternFill patternType="solid">
          <fgColor rgb="00FCE5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Public-Evidence Screening Scores</a:t>
            </a:r>
          </a:p>
        </rich>
      </tx>
    </title>
    <plotArea>
      <barChart>
        <barDir val="bar"/>
        <grouping val="clustered"/>
        <ser>
          <idx val="0"/>
          <order val="0"/>
          <tx>
            <strRef>
              <f>'Manufacturer Screen'!N8</f>
            </strRef>
          </tx>
          <spPr>
            <a:ln xmlns:a="http://schemas.openxmlformats.org/drawingml/2006/main">
              <a:prstDash val="solid"/>
            </a:ln>
          </spPr>
          <cat>
            <numRef>
              <f>'Manufacturer Screen'!$D$9:$D$18</f>
            </numRef>
          </cat>
          <val>
            <numRef>
              <f>'Manufacturer Screen'!$N$9:$N$18</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Score / 100</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Manufacturer</a:t>
                </a:r>
              </a:p>
            </rich>
          </tx>
        </title>
        <majorTickMark val="none"/>
        <minorTickMark val="none"/>
        <crossAx val="10"/>
      </valAx>
    </plotArea>
    <plotVisOnly val="1"/>
    <dispBlanksAs val="gap"/>
  </chart>
</chartSpace>
</file>

<file path=xl/comments/comment1.xml><?xml version="1.0" encoding="utf-8"?>
<comments xmlns="http://schemas.openxmlformats.org/spreadsheetml/2006/main">
  <authors>
    <author>Manus</author>
  </authors>
  <commentList>
    <comment ref="C10" authorId="0" shapeId="0">
      <text>
        <t>Source: Final due-diligence report, Executive Summary
Decision date: 20 August 2026
Context: KPI label.</t>
      </text>
    </comment>
    <comment ref="F10" authorId="0" shapeId="0">
      <text>
        <t>Source: Final due-diligence report, Executive Summary
Decision date: 20 August 2026
Context: KPI label.</t>
      </text>
    </comment>
    <comment ref="I10" authorId="0" shapeId="0">
      <text>
        <t>Source: Final due-diligence report, Executive Summary
Decision date: 20 August 2026
Context: KPI label.</t>
      </text>
    </comment>
    <comment ref="C12" authorId="0" shapeId="0">
      <text>
        <t>Source: Final due-diligence report, Executive Summary
Decision date: 20 August 2026
Context: KPI interpretation.</t>
      </text>
    </comment>
    <comment ref="F12" authorId="0" shapeId="0">
      <text>
        <t>Source: Final due-diligence report, Executive Summary
Decision date: 20 August 2026
Context: KPI interpretation.</t>
      </text>
    </comment>
    <comment ref="I12" authorId="0" shapeId="0">
      <text>
        <t>Source: Final due-diligence report, Executive Summary
Decision date: 20 August 2026
Context: KPI interpretation.</t>
      </text>
    </comment>
    <comment ref="C14" authorId="0" shapeId="0">
      <text>
        <t>Source: Final due-diligence report, Executive Summary
Decision date: 20 August 2026
Context: KPI label.</t>
      </text>
    </comment>
    <comment ref="F14" authorId="0" shapeId="0">
      <text>
        <t>Source: Final due-diligence report, Executive Summary
Decision date: 20 August 2026
Context: KPI label.</t>
      </text>
    </comment>
    <comment ref="I14" authorId="0" shapeId="0">
      <text>
        <t>Source: Final due-diligence report, Executive Summary
Decision date: 20 August 2026
Context: KPI label.</t>
      </text>
    </comment>
    <comment ref="C16" authorId="0" shapeId="0">
      <text>
        <t>Source: Final due-diligence report, Executive Summary
Decision date: 20 August 2026
Context: KPI interpretation.</t>
      </text>
    </comment>
    <comment ref="F16" authorId="0" shapeId="0">
      <text>
        <t>Source: Final due-diligence report, Executive Summary
Decision date: 20 August 2026
Context: KPI interpretation.</t>
      </text>
    </comment>
    <comment ref="I16" authorId="0" shapeId="0">
      <text>
        <t>Source: Final due-diligence report, Executive Summary
Decision date: 20 August 2026
Context: KPI interpretation.</t>
      </text>
    </comment>
    <comment ref="C22" authorId="0" shapeId="0">
      <text>
        <t>Source: Final due-diligence report, section 16
Decision date: 20 August 2026
Context: First-wave decision.</t>
      </text>
    </comment>
    <comment ref="D22" authorId="0" shapeId="0">
      <text>
        <t>Source: Final due-diligence report, section 16
Decision date: 20 August 2026
Context: First-wave decision.</t>
      </text>
    </comment>
    <comment ref="E22" authorId="0" shapeId="0">
      <text>
        <t>Source: Final due-diligence report, section 16
Decision date: 20 August 2026
Context: First-wave decision.</t>
      </text>
    </comment>
    <comment ref="F22" authorId="0" shapeId="0">
      <text>
        <t>Source: Final due-diligence report, section 16
Decision date: 20 August 2026
Context: First-wave decision.</t>
      </text>
    </comment>
    <comment ref="C23" authorId="0" shapeId="0">
      <text>
        <t>Source: Final due-diligence report, section 16
Decision date: 20 August 2026
Context: First-wave decision.</t>
      </text>
    </comment>
    <comment ref="D23" authorId="0" shapeId="0">
      <text>
        <t>Source: Final due-diligence report, section 16
Decision date: 20 August 2026
Context: First-wave decision.</t>
      </text>
    </comment>
    <comment ref="E23" authorId="0" shapeId="0">
      <text>
        <t>Source: Final due-diligence report, section 16
Decision date: 20 August 2026
Context: First-wave decision.</t>
      </text>
    </comment>
    <comment ref="F23" authorId="0" shapeId="0">
      <text>
        <t>Source: Final due-diligence report, section 16
Decision date: 20 August 2026
Context: First-wave decision.</t>
      </text>
    </comment>
    <comment ref="C24" authorId="0" shapeId="0">
      <text>
        <t>Source: Final due-diligence report, section 16
Decision date: 20 August 2026
Context: First-wave decision.</t>
      </text>
    </comment>
    <comment ref="D24" authorId="0" shapeId="0">
      <text>
        <t>Source: Final due-diligence report, section 16
Decision date: 20 August 2026
Context: First-wave decision.</t>
      </text>
    </comment>
    <comment ref="E24" authorId="0" shapeId="0">
      <text>
        <t>Source: Final due-diligence report, section 16
Decision date: 20 August 2026
Context: First-wave decision.</t>
      </text>
    </comment>
    <comment ref="F24" authorId="0" shapeId="0">
      <text>
        <t>Source: Final due-diligence report, section 16
Decision date: 20 August 2026
Context: First-wave decision.</t>
      </text>
    </comment>
    <comment ref="C25" authorId="0" shapeId="0">
      <text>
        <t>Source: Final due-diligence report, section 16
Decision date: 20 August 2026
Context: First-wave decision.</t>
      </text>
    </comment>
    <comment ref="D25" authorId="0" shapeId="0">
      <text>
        <t>Source: Final due-diligence report, section 16
Decision date: 20 August 2026
Context: First-wave decision.</t>
      </text>
    </comment>
    <comment ref="E25" authorId="0" shapeId="0">
      <text>
        <t>Source: Final due-diligence report, section 16
Decision date: 20 August 2026
Context: First-wave decision.</t>
      </text>
    </comment>
    <comment ref="F25" authorId="0" shapeId="0">
      <text>
        <t>Source: Final due-diligence report, section 16
Decision date: 20 August 2026
Context: First-wave decision.</t>
      </text>
    </comment>
    <comment ref="C26" authorId="0" shapeId="0">
      <text>
        <t>Source: Final due-diligence report, section 16
Decision date: 20 August 2026
Context: First-wave decision.</t>
      </text>
    </comment>
    <comment ref="D26" authorId="0" shapeId="0">
      <text>
        <t>Source: Final due-diligence report, section 16
Decision date: 20 August 2026
Context: First-wave decision.</t>
      </text>
    </comment>
    <comment ref="E26" authorId="0" shapeId="0">
      <text>
        <t>Source: Final due-diligence report, section 16
Decision date: 20 August 2026
Context: First-wave decision.</t>
      </text>
    </comment>
    <comment ref="F26" authorId="0" shapeId="0">
      <text>
        <t>Source: Final due-diligence report, section 16
Decision date: 20 August 2026
Context: First-wave decision.</t>
      </text>
    </comment>
    <comment ref="C31" authorId="0" shapeId="0">
      <text>
        <t>Source: Workbook structure
Decision date: 20 August 2026
Context: Internal navigation link.</t>
      </text>
    </comment>
    <comment ref="C32" authorId="0" shapeId="0">
      <text>
        <t>Source: Workbook structure
Decision date: 20 August 2026
Context: Internal navigation link.</t>
      </text>
    </comment>
    <comment ref="C33" authorId="0" shapeId="0">
      <text>
        <t>Source: Workbook structure
Decision date: 20 August 2026
Context: Internal navigation link.</t>
      </text>
    </comment>
    <comment ref="C34" authorId="0" shapeId="0">
      <text>
        <t>Source: Workbook structure
Decision date: 20 August 2026
Context: Internal navigation link.</t>
      </text>
    </comment>
    <comment ref="C35" authorId="0" shapeId="0">
      <text>
        <t>Source: Workbook structure
Decision date: 20 August 2026
Context: Internal navigation link.</t>
      </text>
    </comment>
    <comment ref="C36" authorId="0" shapeId="0">
      <text>
        <t>Source: Workbook structure
Decision date: 20 August 2026
Context: Internal navigation link.</t>
      </text>
    </comment>
    <comment ref="C41" authorId="0" shapeId="0">
      <text>
        <t>Source: Final due-diligence report, regulatory warning and limitations
Decision date: 20 August 2026
Context: Control note.</t>
      </text>
    </comment>
  </commentList>
</comments>
</file>

<file path=xl/comments/comment2.xml><?xml version="1.0" encoding="utf-8"?>
<comments xmlns="http://schemas.openxmlformats.org/spreadsheetml/2006/main">
  <authors>
    <author>Manus</author>
  </authors>
  <commentList>
    <comment ref="C9" authorId="0" shapeId="0">
      <text>
        <t>Source: asian_peptide_manufacturers.csv
Decision date: 20 August 2026
Context: Manufacturer dataset row M01.</t>
      </text>
    </comment>
    <comment ref="D9" authorId="0" shapeId="0">
      <text>
        <t>Source: asian_peptide_manufacturers.csv
Decision date: 20 August 2026
Context: Manufacturer dataset row M01.</t>
      </text>
    </comment>
    <comment ref="E9" authorId="0" shapeId="0">
      <text>
        <t>Source: asian_peptide_manufacturers.csv
Decision date: 20 August 2026
Context: Manufacturer dataset row M01.</t>
      </text>
    </comment>
    <comment ref="F9" authorId="0" shapeId="0">
      <text>
        <t>Source: asian_peptide_manufacturers.csv
Decision date: 20 August 2026
Context: Manufacturer dataset row M01.</t>
      </text>
    </comment>
    <comment ref="G9" authorId="0" shapeId="0">
      <text>
        <t>Source: asian_peptide_manufacturers.csv
Decision date: 20 August 2026
Context: Manufacturer dataset row M01.</t>
      </text>
    </comment>
    <comment ref="H9" authorId="0" shapeId="0">
      <text>
        <t>Source: asian_peptide_manufacturers.csv
Decision date: 20 August 2026
Context: Public-evidence score component for M01.</t>
      </text>
    </comment>
    <comment ref="I9" authorId="0" shapeId="0">
      <text>
        <t>Source: asian_peptide_manufacturers.csv
Decision date: 20 August 2026
Context: Public-evidence score component for M01.</t>
      </text>
    </comment>
    <comment ref="J9" authorId="0" shapeId="0">
      <text>
        <t>Source: asian_peptide_manufacturers.csv
Decision date: 20 August 2026
Context: Public-evidence score component for M01.</t>
      </text>
    </comment>
    <comment ref="K9" authorId="0" shapeId="0">
      <text>
        <t>Source: asian_peptide_manufacturers.csv
Decision date: 20 August 2026
Context: Public-evidence score component for M01.</t>
      </text>
    </comment>
    <comment ref="L9" authorId="0" shapeId="0">
      <text>
        <t>Source: asian_peptide_manufacturers.csv
Decision date: 20 August 2026
Context: Public-evidence score component for M01.</t>
      </text>
    </comment>
    <comment ref="M9" authorId="0" shapeId="0">
      <text>
        <t>Source: asian_peptide_manufacturers.csv
Decision date: 20 August 2026
Context: Public-evidence score component for M01.</t>
      </text>
    </comment>
    <comment ref="O9" authorId="0" shapeId="0">
      <text>
        <t>Source: asian_peptide_manufacturers.csv
Decision date: 20 August 2026
Context: Critical public-red-flag override; update after diligence.</t>
      </text>
    </comment>
    <comment ref="Q9" authorId="0" shapeId="0">
      <text>
        <t>Source: asian_peptide_manufacturers.csv
Decision date: 20 August 2026
Context: Evidenced/bounded markets for M01.</t>
      </text>
    </comment>
    <comment ref="R9" authorId="0" shapeId="0">
      <text>
        <t>Source: asian_peptide_manufacturers.csv
Decision date: 20 August 2026
Context: Adverse-history screen for M01.</t>
      </text>
    </comment>
    <comment ref="S9" authorId="0" shapeId="0">
      <text>
        <t>Source: asian_peptide_manufacturers.csv
Decision date: 20 August 2026
Context: Public-evidence decision for M01.</t>
      </text>
    </comment>
    <comment ref="C10" authorId="0" shapeId="0">
      <text>
        <t>Source: asian_peptide_manufacturers.csv
Decision date: 20 August 2026
Context: Manufacturer dataset row M02.</t>
      </text>
    </comment>
    <comment ref="D10" authorId="0" shapeId="0">
      <text>
        <t>Source: asian_peptide_manufacturers.csv
Decision date: 20 August 2026
Context: Manufacturer dataset row M02.</t>
      </text>
    </comment>
    <comment ref="E10" authorId="0" shapeId="0">
      <text>
        <t>Source: asian_peptide_manufacturers.csv
Decision date: 20 August 2026
Context: Manufacturer dataset row M02.</t>
      </text>
    </comment>
    <comment ref="F10" authorId="0" shapeId="0">
      <text>
        <t>Source: asian_peptide_manufacturers.csv
Decision date: 20 August 2026
Context: Manufacturer dataset row M02.</t>
      </text>
    </comment>
    <comment ref="G10" authorId="0" shapeId="0">
      <text>
        <t>Source: asian_peptide_manufacturers.csv
Decision date: 20 August 2026
Context: Manufacturer dataset row M02.</t>
      </text>
    </comment>
    <comment ref="H10" authorId="0" shapeId="0">
      <text>
        <t>Source: asian_peptide_manufacturers.csv
Decision date: 20 August 2026
Context: Public-evidence score component for M02.</t>
      </text>
    </comment>
    <comment ref="I10" authorId="0" shapeId="0">
      <text>
        <t>Source: asian_peptide_manufacturers.csv
Decision date: 20 August 2026
Context: Public-evidence score component for M02.</t>
      </text>
    </comment>
    <comment ref="J10" authorId="0" shapeId="0">
      <text>
        <t>Source: asian_peptide_manufacturers.csv
Decision date: 20 August 2026
Context: Public-evidence score component for M02.</t>
      </text>
    </comment>
    <comment ref="K10" authorId="0" shapeId="0">
      <text>
        <t>Source: asian_peptide_manufacturers.csv
Decision date: 20 August 2026
Context: Public-evidence score component for M02.</t>
      </text>
    </comment>
    <comment ref="L10" authorId="0" shapeId="0">
      <text>
        <t>Source: asian_peptide_manufacturers.csv
Decision date: 20 August 2026
Context: Public-evidence score component for M02.</t>
      </text>
    </comment>
    <comment ref="M10" authorId="0" shapeId="0">
      <text>
        <t>Source: asian_peptide_manufacturers.csv
Decision date: 20 August 2026
Context: Public-evidence score component for M02.</t>
      </text>
    </comment>
    <comment ref="O10" authorId="0" shapeId="0">
      <text>
        <t>Source: asian_peptide_manufacturers.csv
Decision date: 20 August 2026
Context: Critical public-red-flag override; update after diligence.</t>
      </text>
    </comment>
    <comment ref="Q10" authorId="0" shapeId="0">
      <text>
        <t>Source: asian_peptide_manufacturers.csv
Decision date: 20 August 2026
Context: Evidenced/bounded markets for M02.</t>
      </text>
    </comment>
    <comment ref="R10" authorId="0" shapeId="0">
      <text>
        <t>Source: asian_peptide_manufacturers.csv
Decision date: 20 August 2026
Context: Adverse-history screen for M02.</t>
      </text>
    </comment>
    <comment ref="S10" authorId="0" shapeId="0">
      <text>
        <t>Source: asian_peptide_manufacturers.csv
Decision date: 20 August 2026
Context: Public-evidence decision for M02.</t>
      </text>
    </comment>
    <comment ref="C11" authorId="0" shapeId="0">
      <text>
        <t>Source: asian_peptide_manufacturers.csv
Decision date: 20 August 2026
Context: Manufacturer dataset row M03.</t>
      </text>
    </comment>
    <comment ref="D11" authorId="0" shapeId="0">
      <text>
        <t>Source: asian_peptide_manufacturers.csv
Decision date: 20 August 2026
Context: Manufacturer dataset row M03.</t>
      </text>
    </comment>
    <comment ref="E11" authorId="0" shapeId="0">
      <text>
        <t>Source: asian_peptide_manufacturers.csv
Decision date: 20 August 2026
Context: Manufacturer dataset row M03.</t>
      </text>
    </comment>
    <comment ref="F11" authorId="0" shapeId="0">
      <text>
        <t>Source: asian_peptide_manufacturers.csv
Decision date: 20 August 2026
Context: Manufacturer dataset row M03.</t>
      </text>
    </comment>
    <comment ref="G11" authorId="0" shapeId="0">
      <text>
        <t>Source: asian_peptide_manufacturers.csv
Decision date: 20 August 2026
Context: Manufacturer dataset row M03.</t>
      </text>
    </comment>
    <comment ref="H11" authorId="0" shapeId="0">
      <text>
        <t>Source: asian_peptide_manufacturers.csv
Decision date: 20 August 2026
Context: Public-evidence score component for M03.</t>
      </text>
    </comment>
    <comment ref="I11" authorId="0" shapeId="0">
      <text>
        <t>Source: asian_peptide_manufacturers.csv
Decision date: 20 August 2026
Context: Public-evidence score component for M03.</t>
      </text>
    </comment>
    <comment ref="J11" authorId="0" shapeId="0">
      <text>
        <t>Source: asian_peptide_manufacturers.csv
Decision date: 20 August 2026
Context: Public-evidence score component for M03.</t>
      </text>
    </comment>
    <comment ref="K11" authorId="0" shapeId="0">
      <text>
        <t>Source: asian_peptide_manufacturers.csv
Decision date: 20 August 2026
Context: Public-evidence score component for M03.</t>
      </text>
    </comment>
    <comment ref="L11" authorId="0" shapeId="0">
      <text>
        <t>Source: asian_peptide_manufacturers.csv
Decision date: 20 August 2026
Context: Public-evidence score component for M03.</t>
      </text>
    </comment>
    <comment ref="M11" authorId="0" shapeId="0">
      <text>
        <t>Source: asian_peptide_manufacturers.csv
Decision date: 20 August 2026
Context: Public-evidence score component for M03.</t>
      </text>
    </comment>
    <comment ref="O11" authorId="0" shapeId="0">
      <text>
        <t>Source: asian_peptide_manufacturers.csv
Decision date: 20 August 2026
Context: Critical public-red-flag override; update after diligence.</t>
      </text>
    </comment>
    <comment ref="Q11" authorId="0" shapeId="0">
      <text>
        <t>Source: asian_peptide_manufacturers.csv
Decision date: 20 August 2026
Context: Evidenced/bounded markets for M03.</t>
      </text>
    </comment>
    <comment ref="R11" authorId="0" shapeId="0">
      <text>
        <t>Source: asian_peptide_manufacturers.csv
Decision date: 20 August 2026
Context: Adverse-history screen for M03.</t>
      </text>
    </comment>
    <comment ref="S11" authorId="0" shapeId="0">
      <text>
        <t>Source: asian_peptide_manufacturers.csv
Decision date: 20 August 2026
Context: Public-evidence decision for M03.</t>
      </text>
    </comment>
    <comment ref="C12" authorId="0" shapeId="0">
      <text>
        <t>Source: asian_peptide_manufacturers.csv
Decision date: 20 August 2026
Context: Manufacturer dataset row M04.</t>
      </text>
    </comment>
    <comment ref="D12" authorId="0" shapeId="0">
      <text>
        <t>Source: asian_peptide_manufacturers.csv
Decision date: 20 August 2026
Context: Manufacturer dataset row M04.</t>
      </text>
    </comment>
    <comment ref="E12" authorId="0" shapeId="0">
      <text>
        <t>Source: asian_peptide_manufacturers.csv
Decision date: 20 August 2026
Context: Manufacturer dataset row M04.</t>
      </text>
    </comment>
    <comment ref="F12" authorId="0" shapeId="0">
      <text>
        <t>Source: asian_peptide_manufacturers.csv
Decision date: 20 August 2026
Context: Manufacturer dataset row M04.</t>
      </text>
    </comment>
    <comment ref="G12" authorId="0" shapeId="0">
      <text>
        <t>Source: asian_peptide_manufacturers.csv
Decision date: 20 August 2026
Context: Manufacturer dataset row M04.</t>
      </text>
    </comment>
    <comment ref="H12" authorId="0" shapeId="0">
      <text>
        <t>Source: asian_peptide_manufacturers.csv
Decision date: 20 August 2026
Context: Public-evidence score component for M04.</t>
      </text>
    </comment>
    <comment ref="I12" authorId="0" shapeId="0">
      <text>
        <t>Source: asian_peptide_manufacturers.csv
Decision date: 20 August 2026
Context: Public-evidence score component for M04.</t>
      </text>
    </comment>
    <comment ref="J12" authorId="0" shapeId="0">
      <text>
        <t>Source: asian_peptide_manufacturers.csv
Decision date: 20 August 2026
Context: Public-evidence score component for M04.</t>
      </text>
    </comment>
    <comment ref="K12" authorId="0" shapeId="0">
      <text>
        <t>Source: asian_peptide_manufacturers.csv
Decision date: 20 August 2026
Context: Public-evidence score component for M04.</t>
      </text>
    </comment>
    <comment ref="L12" authorId="0" shapeId="0">
      <text>
        <t>Source: asian_peptide_manufacturers.csv
Decision date: 20 August 2026
Context: Public-evidence score component for M04.</t>
      </text>
    </comment>
    <comment ref="M12" authorId="0" shapeId="0">
      <text>
        <t>Source: asian_peptide_manufacturers.csv
Decision date: 20 August 2026
Context: Public-evidence score component for M04.</t>
      </text>
    </comment>
    <comment ref="O12" authorId="0" shapeId="0">
      <text>
        <t>Source: asian_peptide_manufacturers.csv
Decision date: 20 August 2026
Context: Critical public-red-flag override; update after diligence.</t>
      </text>
    </comment>
    <comment ref="Q12" authorId="0" shapeId="0">
      <text>
        <t>Source: asian_peptide_manufacturers.csv
Decision date: 20 August 2026
Context: Evidenced/bounded markets for M04.</t>
      </text>
    </comment>
    <comment ref="R12" authorId="0" shapeId="0">
      <text>
        <t>Source: asian_peptide_manufacturers.csv
Decision date: 20 August 2026
Context: Adverse-history screen for M04.</t>
      </text>
    </comment>
    <comment ref="S12" authorId="0" shapeId="0">
      <text>
        <t>Source: asian_peptide_manufacturers.csv
Decision date: 20 August 2026
Context: Public-evidence decision for M04.</t>
      </text>
    </comment>
    <comment ref="C13" authorId="0" shapeId="0">
      <text>
        <t>Source: asian_peptide_manufacturers.csv
Decision date: 20 August 2026
Context: Manufacturer dataset row M05.</t>
      </text>
    </comment>
    <comment ref="D13" authorId="0" shapeId="0">
      <text>
        <t>Source: asian_peptide_manufacturers.csv
Decision date: 20 August 2026
Context: Manufacturer dataset row M05.</t>
      </text>
    </comment>
    <comment ref="E13" authorId="0" shapeId="0">
      <text>
        <t>Source: asian_peptide_manufacturers.csv
Decision date: 20 August 2026
Context: Manufacturer dataset row M05.</t>
      </text>
    </comment>
    <comment ref="F13" authorId="0" shapeId="0">
      <text>
        <t>Source: asian_peptide_manufacturers.csv
Decision date: 20 August 2026
Context: Manufacturer dataset row M05.</t>
      </text>
    </comment>
    <comment ref="G13" authorId="0" shapeId="0">
      <text>
        <t>Source: asian_peptide_manufacturers.csv
Decision date: 20 August 2026
Context: Manufacturer dataset row M05.</t>
      </text>
    </comment>
    <comment ref="H13" authorId="0" shapeId="0">
      <text>
        <t>Source: asian_peptide_manufacturers.csv
Decision date: 20 August 2026
Context: Public-evidence score component for M05.</t>
      </text>
    </comment>
    <comment ref="I13" authorId="0" shapeId="0">
      <text>
        <t>Source: asian_peptide_manufacturers.csv
Decision date: 20 August 2026
Context: Public-evidence score component for M05.</t>
      </text>
    </comment>
    <comment ref="J13" authorId="0" shapeId="0">
      <text>
        <t>Source: asian_peptide_manufacturers.csv
Decision date: 20 August 2026
Context: Public-evidence score component for M05.</t>
      </text>
    </comment>
    <comment ref="K13" authorId="0" shapeId="0">
      <text>
        <t>Source: asian_peptide_manufacturers.csv
Decision date: 20 August 2026
Context: Public-evidence score component for M05.</t>
      </text>
    </comment>
    <comment ref="L13" authorId="0" shapeId="0">
      <text>
        <t>Source: asian_peptide_manufacturers.csv
Decision date: 20 August 2026
Context: Public-evidence score component for M05.</t>
      </text>
    </comment>
    <comment ref="M13" authorId="0" shapeId="0">
      <text>
        <t>Source: asian_peptide_manufacturers.csv
Decision date: 20 August 2026
Context: Public-evidence score component for M05.</t>
      </text>
    </comment>
    <comment ref="O13" authorId="0" shapeId="0">
      <text>
        <t>Source: asian_peptide_manufacturers.csv
Decision date: 20 August 2026
Context: Critical public-red-flag override; update after diligence.</t>
      </text>
    </comment>
    <comment ref="Q13" authorId="0" shapeId="0">
      <text>
        <t>Source: asian_peptide_manufacturers.csv
Decision date: 20 August 2026
Context: Evidenced/bounded markets for M05.</t>
      </text>
    </comment>
    <comment ref="R13" authorId="0" shapeId="0">
      <text>
        <t>Source: asian_peptide_manufacturers.csv
Decision date: 20 August 2026
Context: Adverse-history screen for M05.</t>
      </text>
    </comment>
    <comment ref="S13" authorId="0" shapeId="0">
      <text>
        <t>Source: asian_peptide_manufacturers.csv
Decision date: 20 August 2026
Context: Public-evidence decision for M05.</t>
      </text>
    </comment>
    <comment ref="C14" authorId="0" shapeId="0">
      <text>
        <t>Source: asian_peptide_manufacturers.csv
Decision date: 20 August 2026
Context: Manufacturer dataset row M06.</t>
      </text>
    </comment>
    <comment ref="D14" authorId="0" shapeId="0">
      <text>
        <t>Source: asian_peptide_manufacturers.csv
Decision date: 20 August 2026
Context: Manufacturer dataset row M06.</t>
      </text>
    </comment>
    <comment ref="E14" authorId="0" shapeId="0">
      <text>
        <t>Source: asian_peptide_manufacturers.csv
Decision date: 20 August 2026
Context: Manufacturer dataset row M06.</t>
      </text>
    </comment>
    <comment ref="F14" authorId="0" shapeId="0">
      <text>
        <t>Source: asian_peptide_manufacturers.csv
Decision date: 20 August 2026
Context: Manufacturer dataset row M06.</t>
      </text>
    </comment>
    <comment ref="G14" authorId="0" shapeId="0">
      <text>
        <t>Source: asian_peptide_manufacturers.csv
Decision date: 20 August 2026
Context: Manufacturer dataset row M06.</t>
      </text>
    </comment>
    <comment ref="H14" authorId="0" shapeId="0">
      <text>
        <t>Source: asian_peptide_manufacturers.csv
Decision date: 20 August 2026
Context: Public-evidence score component for M06.</t>
      </text>
    </comment>
    <comment ref="I14" authorId="0" shapeId="0">
      <text>
        <t>Source: asian_peptide_manufacturers.csv
Decision date: 20 August 2026
Context: Public-evidence score component for M06.</t>
      </text>
    </comment>
    <comment ref="J14" authorId="0" shapeId="0">
      <text>
        <t>Source: asian_peptide_manufacturers.csv
Decision date: 20 August 2026
Context: Public-evidence score component for M06.</t>
      </text>
    </comment>
    <comment ref="K14" authorId="0" shapeId="0">
      <text>
        <t>Source: asian_peptide_manufacturers.csv
Decision date: 20 August 2026
Context: Public-evidence score component for M06.</t>
      </text>
    </comment>
    <comment ref="L14" authorId="0" shapeId="0">
      <text>
        <t>Source: asian_peptide_manufacturers.csv
Decision date: 20 August 2026
Context: Public-evidence score component for M06.</t>
      </text>
    </comment>
    <comment ref="M14" authorId="0" shapeId="0">
      <text>
        <t>Source: asian_peptide_manufacturers.csv
Decision date: 20 August 2026
Context: Public-evidence score component for M06.</t>
      </text>
    </comment>
    <comment ref="O14" authorId="0" shapeId="0">
      <text>
        <t>Source: asian_peptide_manufacturers.csv
Decision date: 20 August 2026
Context: Critical public-red-flag override; update after diligence.</t>
      </text>
    </comment>
    <comment ref="Q14" authorId="0" shapeId="0">
      <text>
        <t>Source: asian_peptide_manufacturers.csv
Decision date: 20 August 2026
Context: Evidenced/bounded markets for M06.</t>
      </text>
    </comment>
    <comment ref="R14" authorId="0" shapeId="0">
      <text>
        <t>Source: asian_peptide_manufacturers.csv
Decision date: 20 August 2026
Context: Adverse-history screen for M06.</t>
      </text>
    </comment>
    <comment ref="S14" authorId="0" shapeId="0">
      <text>
        <t>Source: asian_peptide_manufacturers.csv
Decision date: 20 August 2026
Context: Public-evidence decision for M06.</t>
      </text>
    </comment>
    <comment ref="C15" authorId="0" shapeId="0">
      <text>
        <t>Source: asian_peptide_manufacturers.csv
Decision date: 20 August 2026
Context: Manufacturer dataset row M07.</t>
      </text>
    </comment>
    <comment ref="D15" authorId="0" shapeId="0">
      <text>
        <t>Source: asian_peptide_manufacturers.csv
Decision date: 20 August 2026
Context: Manufacturer dataset row M07.</t>
      </text>
    </comment>
    <comment ref="E15" authorId="0" shapeId="0">
      <text>
        <t>Source: asian_peptide_manufacturers.csv
Decision date: 20 August 2026
Context: Manufacturer dataset row M07.</t>
      </text>
    </comment>
    <comment ref="F15" authorId="0" shapeId="0">
      <text>
        <t>Source: asian_peptide_manufacturers.csv
Decision date: 20 August 2026
Context: Manufacturer dataset row M07.</t>
      </text>
    </comment>
    <comment ref="G15" authorId="0" shapeId="0">
      <text>
        <t>Source: asian_peptide_manufacturers.csv
Decision date: 20 August 2026
Context: Manufacturer dataset row M07.</t>
      </text>
    </comment>
    <comment ref="H15" authorId="0" shapeId="0">
      <text>
        <t>Source: asian_peptide_manufacturers.csv
Decision date: 20 August 2026
Context: Public-evidence score component for M07.</t>
      </text>
    </comment>
    <comment ref="I15" authorId="0" shapeId="0">
      <text>
        <t>Source: asian_peptide_manufacturers.csv
Decision date: 20 August 2026
Context: Public-evidence score component for M07.</t>
      </text>
    </comment>
    <comment ref="J15" authorId="0" shapeId="0">
      <text>
        <t>Source: asian_peptide_manufacturers.csv
Decision date: 20 August 2026
Context: Public-evidence score component for M07.</t>
      </text>
    </comment>
    <comment ref="K15" authorId="0" shapeId="0">
      <text>
        <t>Source: asian_peptide_manufacturers.csv
Decision date: 20 August 2026
Context: Public-evidence score component for M07.</t>
      </text>
    </comment>
    <comment ref="L15" authorId="0" shapeId="0">
      <text>
        <t>Source: asian_peptide_manufacturers.csv
Decision date: 20 August 2026
Context: Public-evidence score component for M07.</t>
      </text>
    </comment>
    <comment ref="M15" authorId="0" shapeId="0">
      <text>
        <t>Source: asian_peptide_manufacturers.csv
Decision date: 20 August 2026
Context: Public-evidence score component for M07.</t>
      </text>
    </comment>
    <comment ref="O15" authorId="0" shapeId="0">
      <text>
        <t>Source: asian_peptide_manufacturers.csv
Decision date: 20 August 2026
Context: Critical public-red-flag override; update after diligence.</t>
      </text>
    </comment>
    <comment ref="Q15" authorId="0" shapeId="0">
      <text>
        <t>Source: asian_peptide_manufacturers.csv
Decision date: 20 August 2026
Context: Evidenced/bounded markets for M07.</t>
      </text>
    </comment>
    <comment ref="R15" authorId="0" shapeId="0">
      <text>
        <t>Source: asian_peptide_manufacturers.csv
Decision date: 20 August 2026
Context: Adverse-history screen for M07.</t>
      </text>
    </comment>
    <comment ref="S15" authorId="0" shapeId="0">
      <text>
        <t>Source: asian_peptide_manufacturers.csv
Decision date: 20 August 2026
Context: Public-evidence decision for M07.</t>
      </text>
    </comment>
    <comment ref="C16" authorId="0" shapeId="0">
      <text>
        <t>Source: asian_peptide_manufacturers.csv
Decision date: 20 August 2026
Context: Manufacturer dataset row M08.</t>
      </text>
    </comment>
    <comment ref="D16" authorId="0" shapeId="0">
      <text>
        <t>Source: asian_peptide_manufacturers.csv
Decision date: 20 August 2026
Context: Manufacturer dataset row M08.</t>
      </text>
    </comment>
    <comment ref="E16" authorId="0" shapeId="0">
      <text>
        <t>Source: asian_peptide_manufacturers.csv
Decision date: 20 August 2026
Context: Manufacturer dataset row M08.</t>
      </text>
    </comment>
    <comment ref="F16" authorId="0" shapeId="0">
      <text>
        <t>Source: asian_peptide_manufacturers.csv
Decision date: 20 August 2026
Context: Manufacturer dataset row M08.</t>
      </text>
    </comment>
    <comment ref="G16" authorId="0" shapeId="0">
      <text>
        <t>Source: asian_peptide_manufacturers.csv
Decision date: 20 August 2026
Context: Manufacturer dataset row M08.</t>
      </text>
    </comment>
    <comment ref="H16" authorId="0" shapeId="0">
      <text>
        <t>Source: asian_peptide_manufacturers.csv
Decision date: 20 August 2026
Context: Public-evidence score component for M08.</t>
      </text>
    </comment>
    <comment ref="I16" authorId="0" shapeId="0">
      <text>
        <t>Source: asian_peptide_manufacturers.csv
Decision date: 20 August 2026
Context: Public-evidence score component for M08.</t>
      </text>
    </comment>
    <comment ref="J16" authorId="0" shapeId="0">
      <text>
        <t>Source: asian_peptide_manufacturers.csv
Decision date: 20 August 2026
Context: Public-evidence score component for M08.</t>
      </text>
    </comment>
    <comment ref="K16" authorId="0" shapeId="0">
      <text>
        <t>Source: asian_peptide_manufacturers.csv
Decision date: 20 August 2026
Context: Public-evidence score component for M08.</t>
      </text>
    </comment>
    <comment ref="L16" authorId="0" shapeId="0">
      <text>
        <t>Source: asian_peptide_manufacturers.csv
Decision date: 20 August 2026
Context: Public-evidence score component for M08.</t>
      </text>
    </comment>
    <comment ref="M16" authorId="0" shapeId="0">
      <text>
        <t>Source: asian_peptide_manufacturers.csv
Decision date: 20 August 2026
Context: Public-evidence score component for M08.</t>
      </text>
    </comment>
    <comment ref="O16" authorId="0" shapeId="0">
      <text>
        <t>Source: asian_peptide_manufacturers.csv
Decision date: 20 August 2026
Context: Critical public-red-flag override; update after diligence.</t>
      </text>
    </comment>
    <comment ref="Q16" authorId="0" shapeId="0">
      <text>
        <t>Source: asian_peptide_manufacturers.csv
Decision date: 20 August 2026
Context: Evidenced/bounded markets for M08.</t>
      </text>
    </comment>
    <comment ref="R16" authorId="0" shapeId="0">
      <text>
        <t>Source: asian_peptide_manufacturers.csv
Decision date: 20 August 2026
Context: Adverse-history screen for M08.</t>
      </text>
    </comment>
    <comment ref="S16" authorId="0" shapeId="0">
      <text>
        <t>Source: asian_peptide_manufacturers.csv
Decision date: 20 August 2026
Context: Public-evidence decision for M08.</t>
      </text>
    </comment>
    <comment ref="C17" authorId="0" shapeId="0">
      <text>
        <t>Source: asian_peptide_manufacturers.csv
Decision date: 20 August 2026
Context: Manufacturer dataset row M09.</t>
      </text>
    </comment>
    <comment ref="D17" authorId="0" shapeId="0">
      <text>
        <t>Source: asian_peptide_manufacturers.csv
Decision date: 20 August 2026
Context: Manufacturer dataset row M09.</t>
      </text>
    </comment>
    <comment ref="E17" authorId="0" shapeId="0">
      <text>
        <t>Source: asian_peptide_manufacturers.csv
Decision date: 20 August 2026
Context: Manufacturer dataset row M09.</t>
      </text>
    </comment>
    <comment ref="F17" authorId="0" shapeId="0">
      <text>
        <t>Source: asian_peptide_manufacturers.csv
Decision date: 20 August 2026
Context: Manufacturer dataset row M09.</t>
      </text>
    </comment>
    <comment ref="G17" authorId="0" shapeId="0">
      <text>
        <t>Source: asian_peptide_manufacturers.csv
Decision date: 20 August 2026
Context: Manufacturer dataset row M09.</t>
      </text>
    </comment>
    <comment ref="H17" authorId="0" shapeId="0">
      <text>
        <t>Source: asian_peptide_manufacturers.csv
Decision date: 20 August 2026
Context: Public-evidence score component for M09.</t>
      </text>
    </comment>
    <comment ref="I17" authorId="0" shapeId="0">
      <text>
        <t>Source: asian_peptide_manufacturers.csv
Decision date: 20 August 2026
Context: Public-evidence score component for M09.</t>
      </text>
    </comment>
    <comment ref="J17" authorId="0" shapeId="0">
      <text>
        <t>Source: asian_peptide_manufacturers.csv
Decision date: 20 August 2026
Context: Public-evidence score component for M09.</t>
      </text>
    </comment>
    <comment ref="K17" authorId="0" shapeId="0">
      <text>
        <t>Source: asian_peptide_manufacturers.csv
Decision date: 20 August 2026
Context: Public-evidence score component for M09.</t>
      </text>
    </comment>
    <comment ref="L17" authorId="0" shapeId="0">
      <text>
        <t>Source: asian_peptide_manufacturers.csv
Decision date: 20 August 2026
Context: Public-evidence score component for M09.</t>
      </text>
    </comment>
    <comment ref="M17" authorId="0" shapeId="0">
      <text>
        <t>Source: asian_peptide_manufacturers.csv
Decision date: 20 August 2026
Context: Public-evidence score component for M09.</t>
      </text>
    </comment>
    <comment ref="O17" authorId="0" shapeId="0">
      <text>
        <t>Source: asian_peptide_manufacturers.csv
Decision date: 20 August 2026
Context: Critical public-red-flag override; update after diligence.</t>
      </text>
    </comment>
    <comment ref="Q17" authorId="0" shapeId="0">
      <text>
        <t>Source: asian_peptide_manufacturers.csv
Decision date: 20 August 2026
Context: Evidenced/bounded markets for M09.</t>
      </text>
    </comment>
    <comment ref="R17" authorId="0" shapeId="0">
      <text>
        <t>Source: asian_peptide_manufacturers.csv
Decision date: 20 August 2026
Context: Adverse-history screen for M09.</t>
      </text>
    </comment>
    <comment ref="S17" authorId="0" shapeId="0">
      <text>
        <t>Source: asian_peptide_manufacturers.csv
Decision date: 20 August 2026
Context: Public-evidence decision for M09.</t>
      </text>
    </comment>
    <comment ref="C18" authorId="0" shapeId="0">
      <text>
        <t>Source: asian_peptide_manufacturers.csv
Decision date: 20 August 2026
Context: Manufacturer dataset row M10.</t>
      </text>
    </comment>
    <comment ref="D18" authorId="0" shapeId="0">
      <text>
        <t>Source: asian_peptide_manufacturers.csv
Decision date: 20 August 2026
Context: Manufacturer dataset row M10.</t>
      </text>
    </comment>
    <comment ref="E18" authorId="0" shapeId="0">
      <text>
        <t>Source: asian_peptide_manufacturers.csv
Decision date: 20 August 2026
Context: Manufacturer dataset row M10.</t>
      </text>
    </comment>
    <comment ref="F18" authorId="0" shapeId="0">
      <text>
        <t>Source: asian_peptide_manufacturers.csv
Decision date: 20 August 2026
Context: Manufacturer dataset row M10.</t>
      </text>
    </comment>
    <comment ref="G18" authorId="0" shapeId="0">
      <text>
        <t>Source: asian_peptide_manufacturers.csv
Decision date: 20 August 2026
Context: Manufacturer dataset row M10.</t>
      </text>
    </comment>
    <comment ref="H18" authorId="0" shapeId="0">
      <text>
        <t>Source: asian_peptide_manufacturers.csv
Decision date: 20 August 2026
Context: Public-evidence score component for M10.</t>
      </text>
    </comment>
    <comment ref="I18" authorId="0" shapeId="0">
      <text>
        <t>Source: asian_peptide_manufacturers.csv
Decision date: 20 August 2026
Context: Public-evidence score component for M10.</t>
      </text>
    </comment>
    <comment ref="J18" authorId="0" shapeId="0">
      <text>
        <t>Source: asian_peptide_manufacturers.csv
Decision date: 20 August 2026
Context: Public-evidence score component for M10.</t>
      </text>
    </comment>
    <comment ref="K18" authorId="0" shapeId="0">
      <text>
        <t>Source: asian_peptide_manufacturers.csv
Decision date: 20 August 2026
Context: Public-evidence score component for M10.</t>
      </text>
    </comment>
    <comment ref="L18" authorId="0" shapeId="0">
      <text>
        <t>Source: asian_peptide_manufacturers.csv
Decision date: 20 August 2026
Context: Public-evidence score component for M10.</t>
      </text>
    </comment>
    <comment ref="M18" authorId="0" shapeId="0">
      <text>
        <t>Source: asian_peptide_manufacturers.csv
Decision date: 20 August 2026
Context: Public-evidence score component for M10.</t>
      </text>
    </comment>
    <comment ref="O18" authorId="0" shapeId="0">
      <text>
        <t>Source: asian_peptide_manufacturers.csv
Decision date: 20 August 2026
Context: Critical public-red-flag override; update after diligence.</t>
      </text>
    </comment>
    <comment ref="Q18" authorId="0" shapeId="0">
      <text>
        <t>Source: asian_peptide_manufacturers.csv
Decision date: 20 August 2026
Context: Evidenced/bounded markets for M10.</t>
      </text>
    </comment>
    <comment ref="R18" authorId="0" shapeId="0">
      <text>
        <t>Source: asian_peptide_manufacturers.csv
Decision date: 20 August 2026
Context: Adverse-history screen for M10.</t>
      </text>
    </comment>
    <comment ref="S18" authorId="0" shapeId="0">
      <text>
        <t>Source: asian_peptide_manufacturers.csv
Decision date: 20 August 2026
Context: Public-evidence decision for M10.</t>
      </text>
    </comment>
    <comment ref="C24" authorId="0" shapeId="0">
      <text>
        <t>Source: Final report section 2
Decision date: 20 August 2026
Context: Scoring model.</t>
      </text>
    </comment>
    <comment ref="D24" authorId="0" shapeId="0">
      <text>
        <t>Source: Final report section 2
Decision date: 20 August 2026
Context: Scoring model.</t>
      </text>
    </comment>
    <comment ref="E24" authorId="0" shapeId="0">
      <text>
        <t>Source: Final report section 2
Decision date: 20 August 2026
Context: Scoring model.</t>
      </text>
    </comment>
    <comment ref="C25" authorId="0" shapeId="0">
      <text>
        <t>Source: Final report section 2
Decision date: 20 August 2026
Context: Scoring model.</t>
      </text>
    </comment>
    <comment ref="D25" authorId="0" shapeId="0">
      <text>
        <t>Source: Final report section 2
Decision date: 20 August 2026
Context: Scoring model.</t>
      </text>
    </comment>
    <comment ref="E25" authorId="0" shapeId="0">
      <text>
        <t>Source: Final report section 2
Decision date: 20 August 2026
Context: Scoring model.</t>
      </text>
    </comment>
    <comment ref="C26" authorId="0" shapeId="0">
      <text>
        <t>Source: Final report section 2
Decision date: 20 August 2026
Context: Scoring model.</t>
      </text>
    </comment>
    <comment ref="D26" authorId="0" shapeId="0">
      <text>
        <t>Source: Final report section 2
Decision date: 20 August 2026
Context: Scoring model.</t>
      </text>
    </comment>
    <comment ref="E26" authorId="0" shapeId="0">
      <text>
        <t>Source: Final report section 2
Decision date: 20 August 2026
Context: Scoring model.</t>
      </text>
    </comment>
    <comment ref="C27" authorId="0" shapeId="0">
      <text>
        <t>Source: Final report section 2
Decision date: 20 August 2026
Context: Scoring model.</t>
      </text>
    </comment>
    <comment ref="D27" authorId="0" shapeId="0">
      <text>
        <t>Source: Final report section 2
Decision date: 20 August 2026
Context: Scoring model.</t>
      </text>
    </comment>
    <comment ref="E27" authorId="0" shapeId="0">
      <text>
        <t>Source: Final report section 2
Decision date: 20 August 2026
Context: Scoring model.</t>
      </text>
    </comment>
    <comment ref="C28" authorId="0" shapeId="0">
      <text>
        <t>Source: Final report section 2
Decision date: 20 August 2026
Context: Scoring model.</t>
      </text>
    </comment>
    <comment ref="D28" authorId="0" shapeId="0">
      <text>
        <t>Source: Final report section 2
Decision date: 20 August 2026
Context: Scoring model.</t>
      </text>
    </comment>
    <comment ref="E28" authorId="0" shapeId="0">
      <text>
        <t>Source: Final report section 2
Decision date: 20 August 2026
Context: Scoring model.</t>
      </text>
    </comment>
    <comment ref="C29" authorId="0" shapeId="0">
      <text>
        <t>Source: Final report section 2
Decision date: 20 August 2026
Context: Scoring model.</t>
      </text>
    </comment>
    <comment ref="D29" authorId="0" shapeId="0">
      <text>
        <t>Source: Final report section 2
Decision date: 20 August 2026
Context: Scoring model.</t>
      </text>
    </comment>
    <comment ref="E29" authorId="0" shapeId="0">
      <text>
        <t>Source: Final report section 2
Decision date: 20 August 2026
Context: Scoring model.</t>
      </text>
    </comment>
  </commentList>
</comments>
</file>

<file path=xl/comments/comment3.xml><?xml version="1.0" encoding="utf-8"?>
<comments xmlns="http://schemas.openxmlformats.org/spreadsheetml/2006/main">
  <authors>
    <author>Manus</author>
  </authors>
  <commentList>
    <comment ref="C9" authorId="0" shapeId="0">
      <text>
        <t>Source: asian_peptide_laboratories.csv
Decision date: 20 August 2026
Context: Laboratory dataset row L01.</t>
      </text>
    </comment>
    <comment ref="D9" authorId="0" shapeId="0">
      <text>
        <t>Source: asian_peptide_laboratories.csv
Decision date: 20 August 2026
Context: Laboratory dataset row L01.</t>
      </text>
    </comment>
    <comment ref="E9" authorId="0" shapeId="0">
      <text>
        <t>Source: asian_peptide_laboratories.csv
Decision date: 20 August 2026
Context: Laboratory dataset row L01.</t>
      </text>
    </comment>
    <comment ref="F9" authorId="0" shapeId="0">
      <text>
        <t>Source: asian_peptide_laboratories.csv
Decision date: 20 August 2026
Context: Laboratory dataset row L01.</t>
      </text>
    </comment>
    <comment ref="G9" authorId="0" shapeId="0">
      <text>
        <t>Source: asian_peptide_laboratories.csv
Decision date: 20 August 2026
Context: Public-evidence screening score.</t>
      </text>
    </comment>
    <comment ref="H9" authorId="0" shapeId="0">
      <text>
        <t>Source: asian_peptide_laboratories.csv
Decision date: 20 August 2026
Context: Public-evidence tier.</t>
      </text>
    </comment>
    <comment ref="I9" authorId="0" shapeId="0">
      <text>
        <t>Source: asian_peptide_laboratories.csv
Decision date: 20 August 2026
Context: Verified evidence boundary.</t>
      </text>
    </comment>
    <comment ref="J9" authorId="0" shapeId="0">
      <text>
        <t>Source: asian_peptide_laboratories.csv
Decision date: 20 August 2026
Context: Potential peptide methods; site/method verification required.</t>
      </text>
    </comment>
    <comment ref="K9" authorId="0" shapeId="0">
      <text>
        <t>Source: asian_peptide_laboratories.csv
Decision date: 20 August 2026
Context: Preliminary role.</t>
      </text>
    </comment>
    <comment ref="L9" authorId="0" shapeId="0">
      <text>
        <t>Source: User-controlled diligence field
Decision date: 20 August 2026
Context: Editable qualification input.</t>
      </text>
    </comment>
    <comment ref="M9" authorId="0" shapeId="0">
      <text>
        <t>Source: User-controlled diligence field
Decision date: 20 August 2026
Context: Editable qualification input.</t>
      </text>
    </comment>
    <comment ref="N9" authorId="0" shapeId="0">
      <text>
        <t>Source: User-controlled diligence field
Decision date: 20 August 2026
Context: Editable qualification input.</t>
      </text>
    </comment>
    <comment ref="O9" authorId="0" shapeId="0">
      <text>
        <t>Source: User-controlled diligence field
Decision date: 20 August 2026
Context: Editable qualification input.</t>
      </text>
    </comment>
    <comment ref="P9" authorId="0" shapeId="0">
      <text>
        <t>Source: User-controlled diligence field
Decision date: 20 August 2026
Context: Editable qualification input.</t>
      </text>
    </comment>
    <comment ref="C10" authorId="0" shapeId="0">
      <text>
        <t>Source: asian_peptide_laboratories.csv
Decision date: 20 August 2026
Context: Laboratory dataset row L02.</t>
      </text>
    </comment>
    <comment ref="D10" authorId="0" shapeId="0">
      <text>
        <t>Source: asian_peptide_laboratories.csv
Decision date: 20 August 2026
Context: Laboratory dataset row L02.</t>
      </text>
    </comment>
    <comment ref="E10" authorId="0" shapeId="0">
      <text>
        <t>Source: asian_peptide_laboratories.csv
Decision date: 20 August 2026
Context: Laboratory dataset row L02.</t>
      </text>
    </comment>
    <comment ref="F10" authorId="0" shapeId="0">
      <text>
        <t>Source: asian_peptide_laboratories.csv
Decision date: 20 August 2026
Context: Laboratory dataset row L02.</t>
      </text>
    </comment>
    <comment ref="G10" authorId="0" shapeId="0">
      <text>
        <t>Source: asian_peptide_laboratories.csv
Decision date: 20 August 2026
Context: Public-evidence screening score.</t>
      </text>
    </comment>
    <comment ref="H10" authorId="0" shapeId="0">
      <text>
        <t>Source: asian_peptide_laboratories.csv
Decision date: 20 August 2026
Context: Public-evidence tier.</t>
      </text>
    </comment>
    <comment ref="I10" authorId="0" shapeId="0">
      <text>
        <t>Source: asian_peptide_laboratories.csv
Decision date: 20 August 2026
Context: Verified evidence boundary.</t>
      </text>
    </comment>
    <comment ref="J10" authorId="0" shapeId="0">
      <text>
        <t>Source: asian_peptide_laboratories.csv
Decision date: 20 August 2026
Context: Potential peptide methods; site/method verification required.</t>
      </text>
    </comment>
    <comment ref="K10" authorId="0" shapeId="0">
      <text>
        <t>Source: asian_peptide_laboratories.csv
Decision date: 20 August 2026
Context: Preliminary role.</t>
      </text>
    </comment>
    <comment ref="L10" authorId="0" shapeId="0">
      <text>
        <t>Source: User-controlled diligence field
Decision date: 20 August 2026
Context: Editable qualification input.</t>
      </text>
    </comment>
    <comment ref="M10" authorId="0" shapeId="0">
      <text>
        <t>Source: User-controlled diligence field
Decision date: 20 August 2026
Context: Editable qualification input.</t>
      </text>
    </comment>
    <comment ref="N10" authorId="0" shapeId="0">
      <text>
        <t>Source: User-controlled diligence field
Decision date: 20 August 2026
Context: Editable qualification input.</t>
      </text>
    </comment>
    <comment ref="O10" authorId="0" shapeId="0">
      <text>
        <t>Source: User-controlled diligence field
Decision date: 20 August 2026
Context: Editable qualification input.</t>
      </text>
    </comment>
    <comment ref="P10" authorId="0" shapeId="0">
      <text>
        <t>Source: User-controlled diligence field
Decision date: 20 August 2026
Context: Editable qualification input.</t>
      </text>
    </comment>
    <comment ref="C11" authorId="0" shapeId="0">
      <text>
        <t>Source: asian_peptide_laboratories.csv
Decision date: 20 August 2026
Context: Laboratory dataset row L03.</t>
      </text>
    </comment>
    <comment ref="D11" authorId="0" shapeId="0">
      <text>
        <t>Source: asian_peptide_laboratories.csv
Decision date: 20 August 2026
Context: Laboratory dataset row L03.</t>
      </text>
    </comment>
    <comment ref="E11" authorId="0" shapeId="0">
      <text>
        <t>Source: asian_peptide_laboratories.csv
Decision date: 20 August 2026
Context: Laboratory dataset row L03.</t>
      </text>
    </comment>
    <comment ref="F11" authorId="0" shapeId="0">
      <text>
        <t>Source: asian_peptide_laboratories.csv
Decision date: 20 August 2026
Context: Laboratory dataset row L03.</t>
      </text>
    </comment>
    <comment ref="G11" authorId="0" shapeId="0">
      <text>
        <t>Source: asian_peptide_laboratories.csv
Decision date: 20 August 2026
Context: Public-evidence screening score.</t>
      </text>
    </comment>
    <comment ref="H11" authorId="0" shapeId="0">
      <text>
        <t>Source: asian_peptide_laboratories.csv
Decision date: 20 August 2026
Context: Public-evidence tier.</t>
      </text>
    </comment>
    <comment ref="I11" authorId="0" shapeId="0">
      <text>
        <t>Source: asian_peptide_laboratories.csv
Decision date: 20 August 2026
Context: Verified evidence boundary.</t>
      </text>
    </comment>
    <comment ref="J11" authorId="0" shapeId="0">
      <text>
        <t>Source: asian_peptide_laboratories.csv
Decision date: 20 August 2026
Context: Potential peptide methods; site/method verification required.</t>
      </text>
    </comment>
    <comment ref="K11" authorId="0" shapeId="0">
      <text>
        <t>Source: asian_peptide_laboratories.csv
Decision date: 20 August 2026
Context: Preliminary role.</t>
      </text>
    </comment>
    <comment ref="L11" authorId="0" shapeId="0">
      <text>
        <t>Source: User-controlled diligence field
Decision date: 20 August 2026
Context: Editable qualification input.</t>
      </text>
    </comment>
    <comment ref="M11" authorId="0" shapeId="0">
      <text>
        <t>Source: User-controlled diligence field
Decision date: 20 August 2026
Context: Editable qualification input.</t>
      </text>
    </comment>
    <comment ref="N11" authorId="0" shapeId="0">
      <text>
        <t>Source: User-controlled diligence field
Decision date: 20 August 2026
Context: Editable qualification input.</t>
      </text>
    </comment>
    <comment ref="O11" authorId="0" shapeId="0">
      <text>
        <t>Source: User-controlled diligence field
Decision date: 20 August 2026
Context: Editable qualification input.</t>
      </text>
    </comment>
    <comment ref="P11" authorId="0" shapeId="0">
      <text>
        <t>Source: User-controlled diligence field
Decision date: 20 August 2026
Context: Editable qualification input.</t>
      </text>
    </comment>
    <comment ref="C12" authorId="0" shapeId="0">
      <text>
        <t>Source: asian_peptide_laboratories.csv
Decision date: 20 August 2026
Context: Laboratory dataset row L04.</t>
      </text>
    </comment>
    <comment ref="D12" authorId="0" shapeId="0">
      <text>
        <t>Source: asian_peptide_laboratories.csv
Decision date: 20 August 2026
Context: Laboratory dataset row L04.</t>
      </text>
    </comment>
    <comment ref="E12" authorId="0" shapeId="0">
      <text>
        <t>Source: asian_peptide_laboratories.csv
Decision date: 20 August 2026
Context: Laboratory dataset row L04.</t>
      </text>
    </comment>
    <comment ref="F12" authorId="0" shapeId="0">
      <text>
        <t>Source: asian_peptide_laboratories.csv
Decision date: 20 August 2026
Context: Laboratory dataset row L04.</t>
      </text>
    </comment>
    <comment ref="G12" authorId="0" shapeId="0">
      <text>
        <t>Source: asian_peptide_laboratories.csv
Decision date: 20 August 2026
Context: Public-evidence screening score.</t>
      </text>
    </comment>
    <comment ref="H12" authorId="0" shapeId="0">
      <text>
        <t>Source: asian_peptide_laboratories.csv
Decision date: 20 August 2026
Context: Public-evidence tier.</t>
      </text>
    </comment>
    <comment ref="I12" authorId="0" shapeId="0">
      <text>
        <t>Source: asian_peptide_laboratories.csv
Decision date: 20 August 2026
Context: Verified evidence boundary.</t>
      </text>
    </comment>
    <comment ref="J12" authorId="0" shapeId="0">
      <text>
        <t>Source: asian_peptide_laboratories.csv
Decision date: 20 August 2026
Context: Potential peptide methods; site/method verification required.</t>
      </text>
    </comment>
    <comment ref="K12" authorId="0" shapeId="0">
      <text>
        <t>Source: asian_peptide_laboratories.csv
Decision date: 20 August 2026
Context: Preliminary role.</t>
      </text>
    </comment>
    <comment ref="L12" authorId="0" shapeId="0">
      <text>
        <t>Source: User-controlled diligence field
Decision date: 20 August 2026
Context: Editable qualification input.</t>
      </text>
    </comment>
    <comment ref="M12" authorId="0" shapeId="0">
      <text>
        <t>Source: User-controlled diligence field
Decision date: 20 August 2026
Context: Editable qualification input.</t>
      </text>
    </comment>
    <comment ref="N12" authorId="0" shapeId="0">
      <text>
        <t>Source: User-controlled diligence field
Decision date: 20 August 2026
Context: Editable qualification input.</t>
      </text>
    </comment>
    <comment ref="O12" authorId="0" shapeId="0">
      <text>
        <t>Source: User-controlled diligence field
Decision date: 20 August 2026
Context: Editable qualification input.</t>
      </text>
    </comment>
    <comment ref="P12" authorId="0" shapeId="0">
      <text>
        <t>Source: User-controlled diligence field
Decision date: 20 August 2026
Context: Editable qualification input.</t>
      </text>
    </comment>
    <comment ref="C18" authorId="0" shapeId="0">
      <text>
        <t>Source: Final report sections 8, 14 and 15
Decision date: 20 August 2026
Context: Laboratory qualification domain.</t>
      </text>
    </comment>
    <comment ref="D18" authorId="0" shapeId="0">
      <text>
        <t>Source: Final report sections 8, 14 and 15
Decision date: 20 August 2026
Context: Laboratory qualification domain.</t>
      </text>
    </comment>
    <comment ref="C19" authorId="0" shapeId="0">
      <text>
        <t>Source: Final report sections 8, 14 and 15
Decision date: 20 August 2026
Context: Laboratory qualification domain.</t>
      </text>
    </comment>
    <comment ref="D19" authorId="0" shapeId="0">
      <text>
        <t>Source: Final report sections 8, 14 and 15
Decision date: 20 August 2026
Context: Laboratory qualification domain.</t>
      </text>
    </comment>
    <comment ref="C20" authorId="0" shapeId="0">
      <text>
        <t>Source: Final report sections 8, 14 and 15
Decision date: 20 August 2026
Context: Laboratory qualification domain.</t>
      </text>
    </comment>
    <comment ref="D20" authorId="0" shapeId="0">
      <text>
        <t>Source: Final report sections 8, 14 and 15
Decision date: 20 August 2026
Context: Laboratory qualification domain.</t>
      </text>
    </comment>
    <comment ref="C21" authorId="0" shapeId="0">
      <text>
        <t>Source: Final report sections 8, 14 and 15
Decision date: 20 August 2026
Context: Laboratory qualification domain.</t>
      </text>
    </comment>
    <comment ref="D21" authorId="0" shapeId="0">
      <text>
        <t>Source: Final report sections 8, 14 and 15
Decision date: 20 August 2026
Context: Laboratory qualification domain.</t>
      </text>
    </comment>
    <comment ref="C22" authorId="0" shapeId="0">
      <text>
        <t>Source: Final report sections 8, 14 and 15
Decision date: 20 August 2026
Context: Laboratory qualification domain.</t>
      </text>
    </comment>
    <comment ref="D22" authorId="0" shapeId="0">
      <text>
        <t>Source: Final report sections 8, 14 and 15
Decision date: 20 August 2026
Context: Laboratory qualification domain.</t>
      </text>
    </comment>
    <comment ref="C23" authorId="0" shapeId="0">
      <text>
        <t>Source: Final report sections 8, 14 and 15
Decision date: 20 August 2026
Context: Laboratory qualification domain.</t>
      </text>
    </comment>
    <comment ref="D23" authorId="0" shapeId="0">
      <text>
        <t>Source: Final report sections 8, 14 and 15
Decision date: 20 August 2026
Context: Laboratory qualification domain.</t>
      </text>
    </comment>
    <comment ref="C24" authorId="0" shapeId="0">
      <text>
        <t>Source: Final report sections 8, 14 and 15
Decision date: 20 August 2026
Context: Laboratory qualification domain.</t>
      </text>
    </comment>
    <comment ref="D24" authorId="0" shapeId="0">
      <text>
        <t>Source: Final report sections 8, 14 and 15
Decision date: 20 August 2026
Context: Laboratory qualification domain.</t>
      </text>
    </comment>
    <comment ref="C25" authorId="0" shapeId="0">
      <text>
        <t>Source: Final report sections 8, 14 and 15
Decision date: 20 August 2026
Context: Laboratory qualification domain.</t>
      </text>
    </comment>
    <comment ref="D25" authorId="0" shapeId="0">
      <text>
        <t>Source: Final report sections 8, 14 and 15
Decision date: 20 August 2026
Context: Laboratory qualification domain.</t>
      </text>
    </comment>
  </commentList>
</comments>
</file>

<file path=xl/comments/comment4.xml><?xml version="1.0" encoding="utf-8"?>
<comments xmlns="http://schemas.openxmlformats.org/spreadsheetml/2006/main">
  <authors>
    <author>Manus</author>
  </authors>
  <commentList>
    <comment ref="C9" authorId="0" shapeId="0">
      <text>
        <t>Source: Final report sections 11-15 and 16
Decision date: 20 August 2026
Context: Pre-populated diligence request RFI-001.</t>
      </text>
    </comment>
    <comment ref="D9" authorId="0" shapeId="0">
      <text>
        <t>Source: Final report sections 11-15 and 16
Decision date: 20 August 2026
Context: Pre-populated diligence request RFI-001.</t>
      </text>
    </comment>
    <comment ref="E9" authorId="0" shapeId="0">
      <text>
        <t>Source: Final report sections 11-15 and 16
Decision date: 20 August 2026
Context: Pre-populated diligence request RFI-001.</t>
      </text>
    </comment>
    <comment ref="F9" authorId="0" shapeId="0">
      <text>
        <t>Source: Final report sections 11-15 and 16
Decision date: 20 August 2026
Context: Pre-populated diligence request RFI-001.</t>
      </text>
    </comment>
    <comment ref="G9" authorId="0" shapeId="0">
      <text>
        <t>Source: Final report sections 11-15 and 16
Decision date: 20 August 2026
Context: Pre-populated diligence request RFI-001.</t>
      </text>
    </comment>
    <comment ref="H9" authorId="0" shapeId="0">
      <text>
        <t>Source: Final report sections 11-15 and 16
Decision date: 20 August 2026
Context: Pre-populated diligence request RFI-001.</t>
      </text>
    </comment>
    <comment ref="I9" authorId="0" shapeId="0">
      <text>
        <t>Source: Final report sections 11-15 and 16
Decision date: 20 August 2026
Context: Pre-populated diligence request RFI-001.</t>
      </text>
    </comment>
    <comment ref="J9" authorId="0" shapeId="0">
      <text>
        <t>Source: Final report sections 11-15 and 16
Decision date: 20 August 2026
Context: Pre-populated diligence request RFI-001.</t>
      </text>
    </comment>
    <comment ref="K9" authorId="0" shapeId="0">
      <text>
        <t>Source: Final report sections 11-15 and 16
Decision date: 20 August 2026
Context: Pre-populated diligence request RFI-001.</t>
      </text>
    </comment>
    <comment ref="L9" authorId="0" shapeId="0">
      <text>
        <t>Source: Final report sections 11-15 and 16
Decision date: 20 August 2026
Context: Pre-populated diligence request RFI-001.</t>
      </text>
    </comment>
    <comment ref="M9" authorId="0" shapeId="0">
      <text>
        <t>Source: Final report sections 11-15 and 16
Decision date: 20 August 2026
Context: Pre-populated diligence request RFI-001.</t>
      </text>
    </comment>
    <comment ref="O9" authorId="0" shapeId="0">
      <text>
        <t>Source: Final report sections 11-15 and 16
Decision date: 20 August 2026
Context: Pre-populated diligence request RFI-001.</t>
      </text>
    </comment>
    <comment ref="P9" authorId="0" shapeId="0">
      <text>
        <t>Source: Final report sections 11-15 and 16
Decision date: 20 August 2026
Context: Pre-populated diligence request RFI-001.</t>
      </text>
    </comment>
    <comment ref="Q9" authorId="0" shapeId="0">
      <text>
        <t>Source: Final report sections 11-15 and 16
Decision date: 20 August 2026
Context: Pre-populated diligence request RFI-001.</t>
      </text>
    </comment>
    <comment ref="S9" authorId="0" shapeId="0">
      <text>
        <t>Source: Final report sections 11-15 and 16
Decision date: 20 August 2026
Context: Pre-populated diligence request RFI-001.</t>
      </text>
    </comment>
    <comment ref="C10" authorId="0" shapeId="0">
      <text>
        <t>Source: Final report sections 11-15 and 16
Decision date: 20 August 2026
Context: Pre-populated diligence request RFI-002.</t>
      </text>
    </comment>
    <comment ref="D10" authorId="0" shapeId="0">
      <text>
        <t>Source: Final report sections 11-15 and 16
Decision date: 20 August 2026
Context: Pre-populated diligence request RFI-002.</t>
      </text>
    </comment>
    <comment ref="E10" authorId="0" shapeId="0">
      <text>
        <t>Source: Final report sections 11-15 and 16
Decision date: 20 August 2026
Context: Pre-populated diligence request RFI-002.</t>
      </text>
    </comment>
    <comment ref="F10" authorId="0" shapeId="0">
      <text>
        <t>Source: Final report sections 11-15 and 16
Decision date: 20 August 2026
Context: Pre-populated diligence request RFI-002.</t>
      </text>
    </comment>
    <comment ref="G10" authorId="0" shapeId="0">
      <text>
        <t>Source: Final report sections 11-15 and 16
Decision date: 20 August 2026
Context: Pre-populated diligence request RFI-002.</t>
      </text>
    </comment>
    <comment ref="H10" authorId="0" shapeId="0">
      <text>
        <t>Source: Final report sections 11-15 and 16
Decision date: 20 August 2026
Context: Pre-populated diligence request RFI-002.</t>
      </text>
    </comment>
    <comment ref="I10" authorId="0" shapeId="0">
      <text>
        <t>Source: Final report sections 11-15 and 16
Decision date: 20 August 2026
Context: Pre-populated diligence request RFI-002.</t>
      </text>
    </comment>
    <comment ref="J10" authorId="0" shapeId="0">
      <text>
        <t>Source: Final report sections 11-15 and 16
Decision date: 20 August 2026
Context: Pre-populated diligence request RFI-002.</t>
      </text>
    </comment>
    <comment ref="K10" authorId="0" shapeId="0">
      <text>
        <t>Source: Final report sections 11-15 and 16
Decision date: 20 August 2026
Context: Pre-populated diligence request RFI-002.</t>
      </text>
    </comment>
    <comment ref="L10" authorId="0" shapeId="0">
      <text>
        <t>Source: Final report sections 11-15 and 16
Decision date: 20 August 2026
Context: Pre-populated diligence request RFI-002.</t>
      </text>
    </comment>
    <comment ref="M10" authorId="0" shapeId="0">
      <text>
        <t>Source: Final report sections 11-15 and 16
Decision date: 20 August 2026
Context: Pre-populated diligence request RFI-002.</t>
      </text>
    </comment>
    <comment ref="O10" authorId="0" shapeId="0">
      <text>
        <t>Source: Final report sections 11-15 and 16
Decision date: 20 August 2026
Context: Pre-populated diligence request RFI-002.</t>
      </text>
    </comment>
    <comment ref="P10" authorId="0" shapeId="0">
      <text>
        <t>Source: Final report sections 11-15 and 16
Decision date: 20 August 2026
Context: Pre-populated diligence request RFI-002.</t>
      </text>
    </comment>
    <comment ref="Q10" authorId="0" shapeId="0">
      <text>
        <t>Source: Final report sections 11-15 and 16
Decision date: 20 August 2026
Context: Pre-populated diligence request RFI-002.</t>
      </text>
    </comment>
    <comment ref="S10" authorId="0" shapeId="0">
      <text>
        <t>Source: Final report sections 11-15 and 16
Decision date: 20 August 2026
Context: Pre-populated diligence request RFI-002.</t>
      </text>
    </comment>
    <comment ref="C11" authorId="0" shapeId="0">
      <text>
        <t>Source: Final report sections 11-15 and 16
Decision date: 20 August 2026
Context: Pre-populated diligence request RFI-003.</t>
      </text>
    </comment>
    <comment ref="D11" authorId="0" shapeId="0">
      <text>
        <t>Source: Final report sections 11-15 and 16
Decision date: 20 August 2026
Context: Pre-populated diligence request RFI-003.</t>
      </text>
    </comment>
    <comment ref="E11" authorId="0" shapeId="0">
      <text>
        <t>Source: Final report sections 11-15 and 16
Decision date: 20 August 2026
Context: Pre-populated diligence request RFI-003.</t>
      </text>
    </comment>
    <comment ref="F11" authorId="0" shapeId="0">
      <text>
        <t>Source: Final report sections 11-15 and 16
Decision date: 20 August 2026
Context: Pre-populated diligence request RFI-003.</t>
      </text>
    </comment>
    <comment ref="G11" authorId="0" shapeId="0">
      <text>
        <t>Source: Final report sections 11-15 and 16
Decision date: 20 August 2026
Context: Pre-populated diligence request RFI-003.</t>
      </text>
    </comment>
    <comment ref="H11" authorId="0" shapeId="0">
      <text>
        <t>Source: Final report sections 11-15 and 16
Decision date: 20 August 2026
Context: Pre-populated diligence request RFI-003.</t>
      </text>
    </comment>
    <comment ref="I11" authorId="0" shapeId="0">
      <text>
        <t>Source: Final report sections 11-15 and 16
Decision date: 20 August 2026
Context: Pre-populated diligence request RFI-003.</t>
      </text>
    </comment>
    <comment ref="J11" authorId="0" shapeId="0">
      <text>
        <t>Source: Final report sections 11-15 and 16
Decision date: 20 August 2026
Context: Pre-populated diligence request RFI-003.</t>
      </text>
    </comment>
    <comment ref="K11" authorId="0" shapeId="0">
      <text>
        <t>Source: Final report sections 11-15 and 16
Decision date: 20 August 2026
Context: Pre-populated diligence request RFI-003.</t>
      </text>
    </comment>
    <comment ref="L11" authorId="0" shapeId="0">
      <text>
        <t>Source: Final report sections 11-15 and 16
Decision date: 20 August 2026
Context: Pre-populated diligence request RFI-003.</t>
      </text>
    </comment>
    <comment ref="M11" authorId="0" shapeId="0">
      <text>
        <t>Source: Final report sections 11-15 and 16
Decision date: 20 August 2026
Context: Pre-populated diligence request RFI-003.</t>
      </text>
    </comment>
    <comment ref="O11" authorId="0" shapeId="0">
      <text>
        <t>Source: Final report sections 11-15 and 16
Decision date: 20 August 2026
Context: Pre-populated diligence request RFI-003.</t>
      </text>
    </comment>
    <comment ref="P11" authorId="0" shapeId="0">
      <text>
        <t>Source: Final report sections 11-15 and 16
Decision date: 20 August 2026
Context: Pre-populated diligence request RFI-003.</t>
      </text>
    </comment>
    <comment ref="Q11" authorId="0" shapeId="0">
      <text>
        <t>Source: Final report sections 11-15 and 16
Decision date: 20 August 2026
Context: Pre-populated diligence request RFI-003.</t>
      </text>
    </comment>
    <comment ref="S11" authorId="0" shapeId="0">
      <text>
        <t>Source: Final report sections 11-15 and 16
Decision date: 20 August 2026
Context: Pre-populated diligence request RFI-003.</t>
      </text>
    </comment>
    <comment ref="C12" authorId="0" shapeId="0">
      <text>
        <t>Source: Final report sections 11-15 and 16
Decision date: 20 August 2026
Context: Pre-populated diligence request RFI-004.</t>
      </text>
    </comment>
    <comment ref="D12" authorId="0" shapeId="0">
      <text>
        <t>Source: Final report sections 11-15 and 16
Decision date: 20 August 2026
Context: Pre-populated diligence request RFI-004.</t>
      </text>
    </comment>
    <comment ref="E12" authorId="0" shapeId="0">
      <text>
        <t>Source: Final report sections 11-15 and 16
Decision date: 20 August 2026
Context: Pre-populated diligence request RFI-004.</t>
      </text>
    </comment>
    <comment ref="F12" authorId="0" shapeId="0">
      <text>
        <t>Source: Final report sections 11-15 and 16
Decision date: 20 August 2026
Context: Pre-populated diligence request RFI-004.</t>
      </text>
    </comment>
    <comment ref="G12" authorId="0" shapeId="0">
      <text>
        <t>Source: Final report sections 11-15 and 16
Decision date: 20 August 2026
Context: Pre-populated diligence request RFI-004.</t>
      </text>
    </comment>
    <comment ref="H12" authorId="0" shapeId="0">
      <text>
        <t>Source: Final report sections 11-15 and 16
Decision date: 20 August 2026
Context: Pre-populated diligence request RFI-004.</t>
      </text>
    </comment>
    <comment ref="I12" authorId="0" shapeId="0">
      <text>
        <t>Source: Final report sections 11-15 and 16
Decision date: 20 August 2026
Context: Pre-populated diligence request RFI-004.</t>
      </text>
    </comment>
    <comment ref="J12" authorId="0" shapeId="0">
      <text>
        <t>Source: Final report sections 11-15 and 16
Decision date: 20 August 2026
Context: Pre-populated diligence request RFI-004.</t>
      </text>
    </comment>
    <comment ref="K12" authorId="0" shapeId="0">
      <text>
        <t>Source: Final report sections 11-15 and 16
Decision date: 20 August 2026
Context: Pre-populated diligence request RFI-004.</t>
      </text>
    </comment>
    <comment ref="L12" authorId="0" shapeId="0">
      <text>
        <t>Source: Final report sections 11-15 and 16
Decision date: 20 August 2026
Context: Pre-populated diligence request RFI-004.</t>
      </text>
    </comment>
    <comment ref="M12" authorId="0" shapeId="0">
      <text>
        <t>Source: Final report sections 11-15 and 16
Decision date: 20 August 2026
Context: Pre-populated diligence request RFI-004.</t>
      </text>
    </comment>
    <comment ref="O12" authorId="0" shapeId="0">
      <text>
        <t>Source: Final report sections 11-15 and 16
Decision date: 20 August 2026
Context: Pre-populated diligence request RFI-004.</t>
      </text>
    </comment>
    <comment ref="P12" authorId="0" shapeId="0">
      <text>
        <t>Source: Final report sections 11-15 and 16
Decision date: 20 August 2026
Context: Pre-populated diligence request RFI-004.</t>
      </text>
    </comment>
    <comment ref="Q12" authorId="0" shapeId="0">
      <text>
        <t>Source: Final report sections 11-15 and 16
Decision date: 20 August 2026
Context: Pre-populated diligence request RFI-004.</t>
      </text>
    </comment>
    <comment ref="S12" authorId="0" shapeId="0">
      <text>
        <t>Source: Final report sections 11-15 and 16
Decision date: 20 August 2026
Context: Pre-populated diligence request RFI-004.</t>
      </text>
    </comment>
    <comment ref="C13" authorId="0" shapeId="0">
      <text>
        <t>Source: Final report sections 11-15 and 16
Decision date: 20 August 2026
Context: Pre-populated diligence request RFI-005.</t>
      </text>
    </comment>
    <comment ref="D13" authorId="0" shapeId="0">
      <text>
        <t>Source: Final report sections 11-15 and 16
Decision date: 20 August 2026
Context: Pre-populated diligence request RFI-005.</t>
      </text>
    </comment>
    <comment ref="E13" authorId="0" shapeId="0">
      <text>
        <t>Source: Final report sections 11-15 and 16
Decision date: 20 August 2026
Context: Pre-populated diligence request RFI-005.</t>
      </text>
    </comment>
    <comment ref="F13" authorId="0" shapeId="0">
      <text>
        <t>Source: Final report sections 11-15 and 16
Decision date: 20 August 2026
Context: Pre-populated diligence request RFI-005.</t>
      </text>
    </comment>
    <comment ref="G13" authorId="0" shapeId="0">
      <text>
        <t>Source: Final report sections 11-15 and 16
Decision date: 20 August 2026
Context: Pre-populated diligence request RFI-005.</t>
      </text>
    </comment>
    <comment ref="H13" authorId="0" shapeId="0">
      <text>
        <t>Source: Final report sections 11-15 and 16
Decision date: 20 August 2026
Context: Pre-populated diligence request RFI-005.</t>
      </text>
    </comment>
    <comment ref="I13" authorId="0" shapeId="0">
      <text>
        <t>Source: Final report sections 11-15 and 16
Decision date: 20 August 2026
Context: Pre-populated diligence request RFI-005.</t>
      </text>
    </comment>
    <comment ref="J13" authorId="0" shapeId="0">
      <text>
        <t>Source: Final report sections 11-15 and 16
Decision date: 20 August 2026
Context: Pre-populated diligence request RFI-005.</t>
      </text>
    </comment>
    <comment ref="K13" authorId="0" shapeId="0">
      <text>
        <t>Source: Final report sections 11-15 and 16
Decision date: 20 August 2026
Context: Pre-populated diligence request RFI-005.</t>
      </text>
    </comment>
    <comment ref="L13" authorId="0" shapeId="0">
      <text>
        <t>Source: Final report sections 11-15 and 16
Decision date: 20 August 2026
Context: Pre-populated diligence request RFI-005.</t>
      </text>
    </comment>
    <comment ref="M13" authorId="0" shapeId="0">
      <text>
        <t>Source: Final report sections 11-15 and 16
Decision date: 20 August 2026
Context: Pre-populated diligence request RFI-005.</t>
      </text>
    </comment>
    <comment ref="O13" authorId="0" shapeId="0">
      <text>
        <t>Source: Final report sections 11-15 and 16
Decision date: 20 August 2026
Context: Pre-populated diligence request RFI-005.</t>
      </text>
    </comment>
    <comment ref="P13" authorId="0" shapeId="0">
      <text>
        <t>Source: Final report sections 11-15 and 16
Decision date: 20 August 2026
Context: Pre-populated diligence request RFI-005.</t>
      </text>
    </comment>
    <comment ref="Q13" authorId="0" shapeId="0">
      <text>
        <t>Source: Final report sections 11-15 and 16
Decision date: 20 August 2026
Context: Pre-populated diligence request RFI-005.</t>
      </text>
    </comment>
    <comment ref="S13" authorId="0" shapeId="0">
      <text>
        <t>Source: Final report sections 11-15 and 16
Decision date: 20 August 2026
Context: Pre-populated diligence request RFI-005.</t>
      </text>
    </comment>
    <comment ref="C14" authorId="0" shapeId="0">
      <text>
        <t>Source: Final report sections 11-15 and 16
Decision date: 20 August 2026
Context: Pre-populated diligence request RFI-006.</t>
      </text>
    </comment>
    <comment ref="D14" authorId="0" shapeId="0">
      <text>
        <t>Source: Final report sections 11-15 and 16
Decision date: 20 August 2026
Context: Pre-populated diligence request RFI-006.</t>
      </text>
    </comment>
    <comment ref="E14" authorId="0" shapeId="0">
      <text>
        <t>Source: Final report sections 11-15 and 16
Decision date: 20 August 2026
Context: Pre-populated diligence request RFI-006.</t>
      </text>
    </comment>
    <comment ref="F14" authorId="0" shapeId="0">
      <text>
        <t>Source: Final report sections 11-15 and 16
Decision date: 20 August 2026
Context: Pre-populated diligence request RFI-006.</t>
      </text>
    </comment>
    <comment ref="G14" authorId="0" shapeId="0">
      <text>
        <t>Source: Final report sections 11-15 and 16
Decision date: 20 August 2026
Context: Pre-populated diligence request RFI-006.</t>
      </text>
    </comment>
    <comment ref="H14" authorId="0" shapeId="0">
      <text>
        <t>Source: Final report sections 11-15 and 16
Decision date: 20 August 2026
Context: Pre-populated diligence request RFI-006.</t>
      </text>
    </comment>
    <comment ref="I14" authorId="0" shapeId="0">
      <text>
        <t>Source: Final report sections 11-15 and 16
Decision date: 20 August 2026
Context: Pre-populated diligence request RFI-006.</t>
      </text>
    </comment>
    <comment ref="J14" authorId="0" shapeId="0">
      <text>
        <t>Source: Final report sections 11-15 and 16
Decision date: 20 August 2026
Context: Pre-populated diligence request RFI-006.</t>
      </text>
    </comment>
    <comment ref="K14" authorId="0" shapeId="0">
      <text>
        <t>Source: Final report sections 11-15 and 16
Decision date: 20 August 2026
Context: Pre-populated diligence request RFI-006.</t>
      </text>
    </comment>
    <comment ref="L14" authorId="0" shapeId="0">
      <text>
        <t>Source: Final report sections 11-15 and 16
Decision date: 20 August 2026
Context: Pre-populated diligence request RFI-006.</t>
      </text>
    </comment>
    <comment ref="M14" authorId="0" shapeId="0">
      <text>
        <t>Source: Final report sections 11-15 and 16
Decision date: 20 August 2026
Context: Pre-populated diligence request RFI-006.</t>
      </text>
    </comment>
    <comment ref="O14" authorId="0" shapeId="0">
      <text>
        <t>Source: Final report sections 11-15 and 16
Decision date: 20 August 2026
Context: Pre-populated diligence request RFI-006.</t>
      </text>
    </comment>
    <comment ref="P14" authorId="0" shapeId="0">
      <text>
        <t>Source: Final report sections 11-15 and 16
Decision date: 20 August 2026
Context: Pre-populated diligence request RFI-006.</t>
      </text>
    </comment>
    <comment ref="Q14" authorId="0" shapeId="0">
      <text>
        <t>Source: Final report sections 11-15 and 16
Decision date: 20 August 2026
Context: Pre-populated diligence request RFI-006.</t>
      </text>
    </comment>
    <comment ref="S14" authorId="0" shapeId="0">
      <text>
        <t>Source: Final report sections 11-15 and 16
Decision date: 20 August 2026
Context: Pre-populated diligence request RFI-006.</t>
      </text>
    </comment>
    <comment ref="C15" authorId="0" shapeId="0">
      <text>
        <t>Source: Final report sections 11-15 and 16
Decision date: 20 August 2026
Context: Pre-populated diligence request RFI-007.</t>
      </text>
    </comment>
    <comment ref="D15" authorId="0" shapeId="0">
      <text>
        <t>Source: Final report sections 11-15 and 16
Decision date: 20 August 2026
Context: Pre-populated diligence request RFI-007.</t>
      </text>
    </comment>
    <comment ref="E15" authorId="0" shapeId="0">
      <text>
        <t>Source: Final report sections 11-15 and 16
Decision date: 20 August 2026
Context: Pre-populated diligence request RFI-007.</t>
      </text>
    </comment>
    <comment ref="F15" authorId="0" shapeId="0">
      <text>
        <t>Source: Final report sections 11-15 and 16
Decision date: 20 August 2026
Context: Pre-populated diligence request RFI-007.</t>
      </text>
    </comment>
    <comment ref="G15" authorId="0" shapeId="0">
      <text>
        <t>Source: Final report sections 11-15 and 16
Decision date: 20 August 2026
Context: Pre-populated diligence request RFI-007.</t>
      </text>
    </comment>
    <comment ref="H15" authorId="0" shapeId="0">
      <text>
        <t>Source: Final report sections 11-15 and 16
Decision date: 20 August 2026
Context: Pre-populated diligence request RFI-007.</t>
      </text>
    </comment>
    <comment ref="I15" authorId="0" shapeId="0">
      <text>
        <t>Source: Final report sections 11-15 and 16
Decision date: 20 August 2026
Context: Pre-populated diligence request RFI-007.</t>
      </text>
    </comment>
    <comment ref="J15" authorId="0" shapeId="0">
      <text>
        <t>Source: Final report sections 11-15 and 16
Decision date: 20 August 2026
Context: Pre-populated diligence request RFI-007.</t>
      </text>
    </comment>
    <comment ref="K15" authorId="0" shapeId="0">
      <text>
        <t>Source: Final report sections 11-15 and 16
Decision date: 20 August 2026
Context: Pre-populated diligence request RFI-007.</t>
      </text>
    </comment>
    <comment ref="L15" authorId="0" shapeId="0">
      <text>
        <t>Source: Final report sections 11-15 and 16
Decision date: 20 August 2026
Context: Pre-populated diligence request RFI-007.</t>
      </text>
    </comment>
    <comment ref="M15" authorId="0" shapeId="0">
      <text>
        <t>Source: Final report sections 11-15 and 16
Decision date: 20 August 2026
Context: Pre-populated diligence request RFI-007.</t>
      </text>
    </comment>
    <comment ref="O15" authorId="0" shapeId="0">
      <text>
        <t>Source: Final report sections 11-15 and 16
Decision date: 20 August 2026
Context: Pre-populated diligence request RFI-007.</t>
      </text>
    </comment>
    <comment ref="P15" authorId="0" shapeId="0">
      <text>
        <t>Source: Final report sections 11-15 and 16
Decision date: 20 August 2026
Context: Pre-populated diligence request RFI-007.</t>
      </text>
    </comment>
    <comment ref="Q15" authorId="0" shapeId="0">
      <text>
        <t>Source: Final report sections 11-15 and 16
Decision date: 20 August 2026
Context: Pre-populated diligence request RFI-007.</t>
      </text>
    </comment>
    <comment ref="S15" authorId="0" shapeId="0">
      <text>
        <t>Source: Final report sections 11-15 and 16
Decision date: 20 August 2026
Context: Pre-populated diligence request RFI-007.</t>
      </text>
    </comment>
    <comment ref="C16" authorId="0" shapeId="0">
      <text>
        <t>Source: Final report sections 11-15 and 16
Decision date: 20 August 2026
Context: Pre-populated diligence request RFI-008.</t>
      </text>
    </comment>
    <comment ref="D16" authorId="0" shapeId="0">
      <text>
        <t>Source: Final report sections 11-15 and 16
Decision date: 20 August 2026
Context: Pre-populated diligence request RFI-008.</t>
      </text>
    </comment>
    <comment ref="E16" authorId="0" shapeId="0">
      <text>
        <t>Source: Final report sections 11-15 and 16
Decision date: 20 August 2026
Context: Pre-populated diligence request RFI-008.</t>
      </text>
    </comment>
    <comment ref="F16" authorId="0" shapeId="0">
      <text>
        <t>Source: Final report sections 11-15 and 16
Decision date: 20 August 2026
Context: Pre-populated diligence request RFI-008.</t>
      </text>
    </comment>
    <comment ref="G16" authorId="0" shapeId="0">
      <text>
        <t>Source: Final report sections 11-15 and 16
Decision date: 20 August 2026
Context: Pre-populated diligence request RFI-008.</t>
      </text>
    </comment>
    <comment ref="H16" authorId="0" shapeId="0">
      <text>
        <t>Source: Final report sections 11-15 and 16
Decision date: 20 August 2026
Context: Pre-populated diligence request RFI-008.</t>
      </text>
    </comment>
    <comment ref="I16" authorId="0" shapeId="0">
      <text>
        <t>Source: Final report sections 11-15 and 16
Decision date: 20 August 2026
Context: Pre-populated diligence request RFI-008.</t>
      </text>
    </comment>
    <comment ref="J16" authorId="0" shapeId="0">
      <text>
        <t>Source: Final report sections 11-15 and 16
Decision date: 20 August 2026
Context: Pre-populated diligence request RFI-008.</t>
      </text>
    </comment>
    <comment ref="K16" authorId="0" shapeId="0">
      <text>
        <t>Source: Final report sections 11-15 and 16
Decision date: 20 August 2026
Context: Pre-populated diligence request RFI-008.</t>
      </text>
    </comment>
    <comment ref="L16" authorId="0" shapeId="0">
      <text>
        <t>Source: Final report sections 11-15 and 16
Decision date: 20 August 2026
Context: Pre-populated diligence request RFI-008.</t>
      </text>
    </comment>
    <comment ref="M16" authorId="0" shapeId="0">
      <text>
        <t>Source: Final report sections 11-15 and 16
Decision date: 20 August 2026
Context: Pre-populated diligence request RFI-008.</t>
      </text>
    </comment>
    <comment ref="O16" authorId="0" shapeId="0">
      <text>
        <t>Source: Final report sections 11-15 and 16
Decision date: 20 August 2026
Context: Pre-populated diligence request RFI-008.</t>
      </text>
    </comment>
    <comment ref="P16" authorId="0" shapeId="0">
      <text>
        <t>Source: Final report sections 11-15 and 16
Decision date: 20 August 2026
Context: Pre-populated diligence request RFI-008.</t>
      </text>
    </comment>
    <comment ref="Q16" authorId="0" shapeId="0">
      <text>
        <t>Source: Final report sections 11-15 and 16
Decision date: 20 August 2026
Context: Pre-populated diligence request RFI-008.</t>
      </text>
    </comment>
    <comment ref="S16" authorId="0" shapeId="0">
      <text>
        <t>Source: Final report sections 11-15 and 16
Decision date: 20 August 2026
Context: Pre-populated diligence request RFI-008.</t>
      </text>
    </comment>
    <comment ref="C17" authorId="0" shapeId="0">
      <text>
        <t>Source: Final report sections 11-15 and 16
Decision date: 20 August 2026
Context: Pre-populated diligence request RFI-009.</t>
      </text>
    </comment>
    <comment ref="D17" authorId="0" shapeId="0">
      <text>
        <t>Source: Final report sections 11-15 and 16
Decision date: 20 August 2026
Context: Pre-populated diligence request RFI-009.</t>
      </text>
    </comment>
    <comment ref="E17" authorId="0" shapeId="0">
      <text>
        <t>Source: Final report sections 11-15 and 16
Decision date: 20 August 2026
Context: Pre-populated diligence request RFI-009.</t>
      </text>
    </comment>
    <comment ref="F17" authorId="0" shapeId="0">
      <text>
        <t>Source: Final report sections 11-15 and 16
Decision date: 20 August 2026
Context: Pre-populated diligence request RFI-009.</t>
      </text>
    </comment>
    <comment ref="G17" authorId="0" shapeId="0">
      <text>
        <t>Source: Final report sections 11-15 and 16
Decision date: 20 August 2026
Context: Pre-populated diligence request RFI-009.</t>
      </text>
    </comment>
    <comment ref="H17" authorId="0" shapeId="0">
      <text>
        <t>Source: Final report sections 11-15 and 16
Decision date: 20 August 2026
Context: Pre-populated diligence request RFI-009.</t>
      </text>
    </comment>
    <comment ref="I17" authorId="0" shapeId="0">
      <text>
        <t>Source: Final report sections 11-15 and 16
Decision date: 20 August 2026
Context: Pre-populated diligence request RFI-009.</t>
      </text>
    </comment>
    <comment ref="J17" authorId="0" shapeId="0">
      <text>
        <t>Source: Final report sections 11-15 and 16
Decision date: 20 August 2026
Context: Pre-populated diligence request RFI-009.</t>
      </text>
    </comment>
    <comment ref="K17" authorId="0" shapeId="0">
      <text>
        <t>Source: Final report sections 11-15 and 16
Decision date: 20 August 2026
Context: Pre-populated diligence request RFI-009.</t>
      </text>
    </comment>
    <comment ref="L17" authorId="0" shapeId="0">
      <text>
        <t>Source: Final report sections 11-15 and 16
Decision date: 20 August 2026
Context: Pre-populated diligence request RFI-009.</t>
      </text>
    </comment>
    <comment ref="M17" authorId="0" shapeId="0">
      <text>
        <t>Source: Final report sections 11-15 and 16
Decision date: 20 August 2026
Context: Pre-populated diligence request RFI-009.</t>
      </text>
    </comment>
    <comment ref="O17" authorId="0" shapeId="0">
      <text>
        <t>Source: Final report sections 11-15 and 16
Decision date: 20 August 2026
Context: Pre-populated diligence request RFI-009.</t>
      </text>
    </comment>
    <comment ref="P17" authorId="0" shapeId="0">
      <text>
        <t>Source: Final report sections 11-15 and 16
Decision date: 20 August 2026
Context: Pre-populated diligence request RFI-009.</t>
      </text>
    </comment>
    <comment ref="Q17" authorId="0" shapeId="0">
      <text>
        <t>Source: Final report sections 11-15 and 16
Decision date: 20 August 2026
Context: Pre-populated diligence request RFI-009.</t>
      </text>
    </comment>
    <comment ref="S17" authorId="0" shapeId="0">
      <text>
        <t>Source: Final report sections 11-15 and 16
Decision date: 20 August 2026
Context: Pre-populated diligence request RFI-009.</t>
      </text>
    </comment>
    <comment ref="C18" authorId="0" shapeId="0">
      <text>
        <t>Source: Final report sections 11-15 and 16
Decision date: 20 August 2026
Context: Pre-populated diligence request RFI-010.</t>
      </text>
    </comment>
    <comment ref="D18" authorId="0" shapeId="0">
      <text>
        <t>Source: Final report sections 11-15 and 16
Decision date: 20 August 2026
Context: Pre-populated diligence request RFI-010.</t>
      </text>
    </comment>
    <comment ref="E18" authorId="0" shapeId="0">
      <text>
        <t>Source: Final report sections 11-15 and 16
Decision date: 20 August 2026
Context: Pre-populated diligence request RFI-010.</t>
      </text>
    </comment>
    <comment ref="F18" authorId="0" shapeId="0">
      <text>
        <t>Source: Final report sections 11-15 and 16
Decision date: 20 August 2026
Context: Pre-populated diligence request RFI-010.</t>
      </text>
    </comment>
    <comment ref="G18" authorId="0" shapeId="0">
      <text>
        <t>Source: Final report sections 11-15 and 16
Decision date: 20 August 2026
Context: Pre-populated diligence request RFI-010.</t>
      </text>
    </comment>
    <comment ref="H18" authorId="0" shapeId="0">
      <text>
        <t>Source: Final report sections 11-15 and 16
Decision date: 20 August 2026
Context: Pre-populated diligence request RFI-010.</t>
      </text>
    </comment>
    <comment ref="I18" authorId="0" shapeId="0">
      <text>
        <t>Source: Final report sections 11-15 and 16
Decision date: 20 August 2026
Context: Pre-populated diligence request RFI-010.</t>
      </text>
    </comment>
    <comment ref="J18" authorId="0" shapeId="0">
      <text>
        <t>Source: Final report sections 11-15 and 16
Decision date: 20 August 2026
Context: Pre-populated diligence request RFI-010.</t>
      </text>
    </comment>
    <comment ref="K18" authorId="0" shapeId="0">
      <text>
        <t>Source: Final report sections 11-15 and 16
Decision date: 20 August 2026
Context: Pre-populated diligence request RFI-010.</t>
      </text>
    </comment>
    <comment ref="L18" authorId="0" shapeId="0">
      <text>
        <t>Source: Final report sections 11-15 and 16
Decision date: 20 August 2026
Context: Pre-populated diligence request RFI-010.</t>
      </text>
    </comment>
    <comment ref="M18" authorId="0" shapeId="0">
      <text>
        <t>Source: Final report sections 11-15 and 16
Decision date: 20 August 2026
Context: Pre-populated diligence request RFI-010.</t>
      </text>
    </comment>
    <comment ref="O18" authorId="0" shapeId="0">
      <text>
        <t>Source: Final report sections 11-15 and 16
Decision date: 20 August 2026
Context: Pre-populated diligence request RFI-010.</t>
      </text>
    </comment>
    <comment ref="P18" authorId="0" shapeId="0">
      <text>
        <t>Source: Final report sections 11-15 and 16
Decision date: 20 August 2026
Context: Pre-populated diligence request RFI-010.</t>
      </text>
    </comment>
    <comment ref="Q18" authorId="0" shapeId="0">
      <text>
        <t>Source: Final report sections 11-15 and 16
Decision date: 20 August 2026
Context: Pre-populated diligence request RFI-010.</t>
      </text>
    </comment>
    <comment ref="S18" authorId="0" shapeId="0">
      <text>
        <t>Source: Final report sections 11-15 and 16
Decision date: 20 August 2026
Context: Pre-populated diligence request RFI-010.</t>
      </text>
    </comment>
    <comment ref="C19" authorId="0" shapeId="0">
      <text>
        <t>Source: Final report sections 11-15 and 16
Decision date: 20 August 2026
Context: Pre-populated diligence request RFI-011.</t>
      </text>
    </comment>
    <comment ref="D19" authorId="0" shapeId="0">
      <text>
        <t>Source: Final report sections 11-15 and 16
Decision date: 20 August 2026
Context: Pre-populated diligence request RFI-011.</t>
      </text>
    </comment>
    <comment ref="E19" authorId="0" shapeId="0">
      <text>
        <t>Source: Final report sections 11-15 and 16
Decision date: 20 August 2026
Context: Pre-populated diligence request RFI-011.</t>
      </text>
    </comment>
    <comment ref="F19" authorId="0" shapeId="0">
      <text>
        <t>Source: Final report sections 11-15 and 16
Decision date: 20 August 2026
Context: Pre-populated diligence request RFI-011.</t>
      </text>
    </comment>
    <comment ref="G19" authorId="0" shapeId="0">
      <text>
        <t>Source: Final report sections 11-15 and 16
Decision date: 20 August 2026
Context: Pre-populated diligence request RFI-011.</t>
      </text>
    </comment>
    <comment ref="H19" authorId="0" shapeId="0">
      <text>
        <t>Source: Final report sections 11-15 and 16
Decision date: 20 August 2026
Context: Pre-populated diligence request RFI-011.</t>
      </text>
    </comment>
    <comment ref="I19" authorId="0" shapeId="0">
      <text>
        <t>Source: Final report sections 11-15 and 16
Decision date: 20 August 2026
Context: Pre-populated diligence request RFI-011.</t>
      </text>
    </comment>
    <comment ref="J19" authorId="0" shapeId="0">
      <text>
        <t>Source: Final report sections 11-15 and 16
Decision date: 20 August 2026
Context: Pre-populated diligence request RFI-011.</t>
      </text>
    </comment>
    <comment ref="K19" authorId="0" shapeId="0">
      <text>
        <t>Source: Final report sections 11-15 and 16
Decision date: 20 August 2026
Context: Pre-populated diligence request RFI-011.</t>
      </text>
    </comment>
    <comment ref="L19" authorId="0" shapeId="0">
      <text>
        <t>Source: Final report sections 11-15 and 16
Decision date: 20 August 2026
Context: Pre-populated diligence request RFI-011.</t>
      </text>
    </comment>
    <comment ref="M19" authorId="0" shapeId="0">
      <text>
        <t>Source: Final report sections 11-15 and 16
Decision date: 20 August 2026
Context: Pre-populated diligence request RFI-011.</t>
      </text>
    </comment>
    <comment ref="O19" authorId="0" shapeId="0">
      <text>
        <t>Source: Final report sections 11-15 and 16
Decision date: 20 August 2026
Context: Pre-populated diligence request RFI-011.</t>
      </text>
    </comment>
    <comment ref="P19" authorId="0" shapeId="0">
      <text>
        <t>Source: Final report sections 11-15 and 16
Decision date: 20 August 2026
Context: Pre-populated diligence request RFI-011.</t>
      </text>
    </comment>
    <comment ref="Q19" authorId="0" shapeId="0">
      <text>
        <t>Source: Final report sections 11-15 and 16
Decision date: 20 August 2026
Context: Pre-populated diligence request RFI-011.</t>
      </text>
    </comment>
    <comment ref="S19" authorId="0" shapeId="0">
      <text>
        <t>Source: Final report sections 11-15 and 16
Decision date: 20 August 2026
Context: Pre-populated diligence request RFI-011.</t>
      </text>
    </comment>
    <comment ref="C20" authorId="0" shapeId="0">
      <text>
        <t>Source: Final report sections 11-15 and 16
Decision date: 20 August 2026
Context: Pre-populated diligence request RFI-012.</t>
      </text>
    </comment>
    <comment ref="D20" authorId="0" shapeId="0">
      <text>
        <t>Source: Final report sections 11-15 and 16
Decision date: 20 August 2026
Context: Pre-populated diligence request RFI-012.</t>
      </text>
    </comment>
    <comment ref="E20" authorId="0" shapeId="0">
      <text>
        <t>Source: Final report sections 11-15 and 16
Decision date: 20 August 2026
Context: Pre-populated diligence request RFI-012.</t>
      </text>
    </comment>
    <comment ref="F20" authorId="0" shapeId="0">
      <text>
        <t>Source: Final report sections 11-15 and 16
Decision date: 20 August 2026
Context: Pre-populated diligence request RFI-012.</t>
      </text>
    </comment>
    <comment ref="G20" authorId="0" shapeId="0">
      <text>
        <t>Source: Final report sections 11-15 and 16
Decision date: 20 August 2026
Context: Pre-populated diligence request RFI-012.</t>
      </text>
    </comment>
    <comment ref="H20" authorId="0" shapeId="0">
      <text>
        <t>Source: Final report sections 11-15 and 16
Decision date: 20 August 2026
Context: Pre-populated diligence request RFI-012.</t>
      </text>
    </comment>
    <comment ref="I20" authorId="0" shapeId="0">
      <text>
        <t>Source: Final report sections 11-15 and 16
Decision date: 20 August 2026
Context: Pre-populated diligence request RFI-012.</t>
      </text>
    </comment>
    <comment ref="J20" authorId="0" shapeId="0">
      <text>
        <t>Source: Final report sections 11-15 and 16
Decision date: 20 August 2026
Context: Pre-populated diligence request RFI-012.</t>
      </text>
    </comment>
    <comment ref="K20" authorId="0" shapeId="0">
      <text>
        <t>Source: Final report sections 11-15 and 16
Decision date: 20 August 2026
Context: Pre-populated diligence request RFI-012.</t>
      </text>
    </comment>
    <comment ref="L20" authorId="0" shapeId="0">
      <text>
        <t>Source: Final report sections 11-15 and 16
Decision date: 20 August 2026
Context: Pre-populated diligence request RFI-012.</t>
      </text>
    </comment>
    <comment ref="M20" authorId="0" shapeId="0">
      <text>
        <t>Source: Final report sections 11-15 and 16
Decision date: 20 August 2026
Context: Pre-populated diligence request RFI-012.</t>
      </text>
    </comment>
    <comment ref="O20" authorId="0" shapeId="0">
      <text>
        <t>Source: Final report sections 11-15 and 16
Decision date: 20 August 2026
Context: Pre-populated diligence request RFI-012.</t>
      </text>
    </comment>
    <comment ref="P20" authorId="0" shapeId="0">
      <text>
        <t>Source: Final report sections 11-15 and 16
Decision date: 20 August 2026
Context: Pre-populated diligence request RFI-012.</t>
      </text>
    </comment>
    <comment ref="Q20" authorId="0" shapeId="0">
      <text>
        <t>Source: Final report sections 11-15 and 16
Decision date: 20 August 2026
Context: Pre-populated diligence request RFI-012.</t>
      </text>
    </comment>
    <comment ref="S20" authorId="0" shapeId="0">
      <text>
        <t>Source: Final report sections 11-15 and 16
Decision date: 20 August 2026
Context: Pre-populated diligence request RFI-012.</t>
      </text>
    </comment>
    <comment ref="C21" authorId="0" shapeId="0">
      <text>
        <t>Source: Final report sections 11-15 and 16
Decision date: 20 August 2026
Context: Pre-populated diligence request RFI-013.</t>
      </text>
    </comment>
    <comment ref="D21" authorId="0" shapeId="0">
      <text>
        <t>Source: Final report sections 11-15 and 16
Decision date: 20 August 2026
Context: Pre-populated diligence request RFI-013.</t>
      </text>
    </comment>
    <comment ref="E21" authorId="0" shapeId="0">
      <text>
        <t>Source: Final report sections 11-15 and 16
Decision date: 20 August 2026
Context: Pre-populated diligence request RFI-013.</t>
      </text>
    </comment>
    <comment ref="F21" authorId="0" shapeId="0">
      <text>
        <t>Source: Final report sections 11-15 and 16
Decision date: 20 August 2026
Context: Pre-populated diligence request RFI-013.</t>
      </text>
    </comment>
    <comment ref="G21" authorId="0" shapeId="0">
      <text>
        <t>Source: Final report sections 11-15 and 16
Decision date: 20 August 2026
Context: Pre-populated diligence request RFI-013.</t>
      </text>
    </comment>
    <comment ref="H21" authorId="0" shapeId="0">
      <text>
        <t>Source: Final report sections 11-15 and 16
Decision date: 20 August 2026
Context: Pre-populated diligence request RFI-013.</t>
      </text>
    </comment>
    <comment ref="I21" authorId="0" shapeId="0">
      <text>
        <t>Source: Final report sections 11-15 and 16
Decision date: 20 August 2026
Context: Pre-populated diligence request RFI-013.</t>
      </text>
    </comment>
    <comment ref="J21" authorId="0" shapeId="0">
      <text>
        <t>Source: Final report sections 11-15 and 16
Decision date: 20 August 2026
Context: Pre-populated diligence request RFI-013.</t>
      </text>
    </comment>
    <comment ref="K21" authorId="0" shapeId="0">
      <text>
        <t>Source: Final report sections 11-15 and 16
Decision date: 20 August 2026
Context: Pre-populated diligence request RFI-013.</t>
      </text>
    </comment>
    <comment ref="L21" authorId="0" shapeId="0">
      <text>
        <t>Source: Final report sections 11-15 and 16
Decision date: 20 August 2026
Context: Pre-populated diligence request RFI-013.</t>
      </text>
    </comment>
    <comment ref="M21" authorId="0" shapeId="0">
      <text>
        <t>Source: Final report sections 11-15 and 16
Decision date: 20 August 2026
Context: Pre-populated diligence request RFI-013.</t>
      </text>
    </comment>
    <comment ref="O21" authorId="0" shapeId="0">
      <text>
        <t>Source: Final report sections 11-15 and 16
Decision date: 20 August 2026
Context: Pre-populated diligence request RFI-013.</t>
      </text>
    </comment>
    <comment ref="P21" authorId="0" shapeId="0">
      <text>
        <t>Source: Final report sections 11-15 and 16
Decision date: 20 August 2026
Context: Pre-populated diligence request RFI-013.</t>
      </text>
    </comment>
    <comment ref="Q21" authorId="0" shapeId="0">
      <text>
        <t>Source: Final report sections 11-15 and 16
Decision date: 20 August 2026
Context: Pre-populated diligence request RFI-013.</t>
      </text>
    </comment>
    <comment ref="S21" authorId="0" shapeId="0">
      <text>
        <t>Source: Final report sections 11-15 and 16
Decision date: 20 August 2026
Context: Pre-populated diligence request RFI-013.</t>
      </text>
    </comment>
    <comment ref="C22" authorId="0" shapeId="0">
      <text>
        <t>Source: Final report sections 11-15 and 16
Decision date: 20 August 2026
Context: Pre-populated diligence request RFI-014.</t>
      </text>
    </comment>
    <comment ref="D22" authorId="0" shapeId="0">
      <text>
        <t>Source: Final report sections 11-15 and 16
Decision date: 20 August 2026
Context: Pre-populated diligence request RFI-014.</t>
      </text>
    </comment>
    <comment ref="E22" authorId="0" shapeId="0">
      <text>
        <t>Source: Final report sections 11-15 and 16
Decision date: 20 August 2026
Context: Pre-populated diligence request RFI-014.</t>
      </text>
    </comment>
    <comment ref="F22" authorId="0" shapeId="0">
      <text>
        <t>Source: Final report sections 11-15 and 16
Decision date: 20 August 2026
Context: Pre-populated diligence request RFI-014.</t>
      </text>
    </comment>
    <comment ref="G22" authorId="0" shapeId="0">
      <text>
        <t>Source: Final report sections 11-15 and 16
Decision date: 20 August 2026
Context: Pre-populated diligence request RFI-014.</t>
      </text>
    </comment>
    <comment ref="H22" authorId="0" shapeId="0">
      <text>
        <t>Source: Final report sections 11-15 and 16
Decision date: 20 August 2026
Context: Pre-populated diligence request RFI-014.</t>
      </text>
    </comment>
    <comment ref="I22" authorId="0" shapeId="0">
      <text>
        <t>Source: Final report sections 11-15 and 16
Decision date: 20 August 2026
Context: Pre-populated diligence request RFI-014.</t>
      </text>
    </comment>
    <comment ref="J22" authorId="0" shapeId="0">
      <text>
        <t>Source: Final report sections 11-15 and 16
Decision date: 20 August 2026
Context: Pre-populated diligence request RFI-014.</t>
      </text>
    </comment>
    <comment ref="K22" authorId="0" shapeId="0">
      <text>
        <t>Source: Final report sections 11-15 and 16
Decision date: 20 August 2026
Context: Pre-populated diligence request RFI-014.</t>
      </text>
    </comment>
    <comment ref="L22" authorId="0" shapeId="0">
      <text>
        <t>Source: Final report sections 11-15 and 16
Decision date: 20 August 2026
Context: Pre-populated diligence request RFI-014.</t>
      </text>
    </comment>
    <comment ref="M22" authorId="0" shapeId="0">
      <text>
        <t>Source: Final report sections 11-15 and 16
Decision date: 20 August 2026
Context: Pre-populated diligence request RFI-014.</t>
      </text>
    </comment>
    <comment ref="O22" authorId="0" shapeId="0">
      <text>
        <t>Source: Final report sections 11-15 and 16
Decision date: 20 August 2026
Context: Pre-populated diligence request RFI-014.</t>
      </text>
    </comment>
    <comment ref="P22" authorId="0" shapeId="0">
      <text>
        <t>Source: Final report sections 11-15 and 16
Decision date: 20 August 2026
Context: Pre-populated diligence request RFI-014.</t>
      </text>
    </comment>
    <comment ref="Q22" authorId="0" shapeId="0">
      <text>
        <t>Source: Final report sections 11-15 and 16
Decision date: 20 August 2026
Context: Pre-populated diligence request RFI-014.</t>
      </text>
    </comment>
    <comment ref="S22" authorId="0" shapeId="0">
      <text>
        <t>Source: Final report sections 11-15 and 16
Decision date: 20 August 2026
Context: Pre-populated diligence request RFI-014.</t>
      </text>
    </comment>
    <comment ref="C23" authorId="0" shapeId="0">
      <text>
        <t>Source: Final report sections 11-15 and 16
Decision date: 20 August 2026
Context: Pre-populated diligence request RFI-015.</t>
      </text>
    </comment>
    <comment ref="D23" authorId="0" shapeId="0">
      <text>
        <t>Source: Final report sections 11-15 and 16
Decision date: 20 August 2026
Context: Pre-populated diligence request RFI-015.</t>
      </text>
    </comment>
    <comment ref="E23" authorId="0" shapeId="0">
      <text>
        <t>Source: Final report sections 11-15 and 16
Decision date: 20 August 2026
Context: Pre-populated diligence request RFI-015.</t>
      </text>
    </comment>
    <comment ref="F23" authorId="0" shapeId="0">
      <text>
        <t>Source: Final report sections 11-15 and 16
Decision date: 20 August 2026
Context: Pre-populated diligence request RFI-015.</t>
      </text>
    </comment>
    <comment ref="G23" authorId="0" shapeId="0">
      <text>
        <t>Source: Final report sections 11-15 and 16
Decision date: 20 August 2026
Context: Pre-populated diligence request RFI-015.</t>
      </text>
    </comment>
    <comment ref="H23" authorId="0" shapeId="0">
      <text>
        <t>Source: Final report sections 11-15 and 16
Decision date: 20 August 2026
Context: Pre-populated diligence request RFI-015.</t>
      </text>
    </comment>
    <comment ref="I23" authorId="0" shapeId="0">
      <text>
        <t>Source: Final report sections 11-15 and 16
Decision date: 20 August 2026
Context: Pre-populated diligence request RFI-015.</t>
      </text>
    </comment>
    <comment ref="J23" authorId="0" shapeId="0">
      <text>
        <t>Source: Final report sections 11-15 and 16
Decision date: 20 August 2026
Context: Pre-populated diligence request RFI-015.</t>
      </text>
    </comment>
    <comment ref="K23" authorId="0" shapeId="0">
      <text>
        <t>Source: Final report sections 11-15 and 16
Decision date: 20 August 2026
Context: Pre-populated diligence request RFI-015.</t>
      </text>
    </comment>
    <comment ref="L23" authorId="0" shapeId="0">
      <text>
        <t>Source: Final report sections 11-15 and 16
Decision date: 20 August 2026
Context: Pre-populated diligence request RFI-015.</t>
      </text>
    </comment>
    <comment ref="M23" authorId="0" shapeId="0">
      <text>
        <t>Source: Final report sections 11-15 and 16
Decision date: 20 August 2026
Context: Pre-populated diligence request RFI-015.</t>
      </text>
    </comment>
    <comment ref="O23" authorId="0" shapeId="0">
      <text>
        <t>Source: Final report sections 11-15 and 16
Decision date: 20 August 2026
Context: Pre-populated diligence request RFI-015.</t>
      </text>
    </comment>
    <comment ref="P23" authorId="0" shapeId="0">
      <text>
        <t>Source: Final report sections 11-15 and 16
Decision date: 20 August 2026
Context: Pre-populated diligence request RFI-015.</t>
      </text>
    </comment>
    <comment ref="Q23" authorId="0" shapeId="0">
      <text>
        <t>Source: Final report sections 11-15 and 16
Decision date: 20 August 2026
Context: Pre-populated diligence request RFI-015.</t>
      </text>
    </comment>
    <comment ref="S23" authorId="0" shapeId="0">
      <text>
        <t>Source: Final report sections 11-15 and 16
Decision date: 20 August 2026
Context: Pre-populated diligence request RFI-015.</t>
      </text>
    </comment>
    <comment ref="C24" authorId="0" shapeId="0">
      <text>
        <t>Source: Final report sections 11-15 and 16
Decision date: 20 August 2026
Context: Pre-populated diligence request RFI-016.</t>
      </text>
    </comment>
    <comment ref="D24" authorId="0" shapeId="0">
      <text>
        <t>Source: Final report sections 11-15 and 16
Decision date: 20 August 2026
Context: Pre-populated diligence request RFI-016.</t>
      </text>
    </comment>
    <comment ref="E24" authorId="0" shapeId="0">
      <text>
        <t>Source: Final report sections 11-15 and 16
Decision date: 20 August 2026
Context: Pre-populated diligence request RFI-016.</t>
      </text>
    </comment>
    <comment ref="F24" authorId="0" shapeId="0">
      <text>
        <t>Source: Final report sections 11-15 and 16
Decision date: 20 August 2026
Context: Pre-populated diligence request RFI-016.</t>
      </text>
    </comment>
    <comment ref="G24" authorId="0" shapeId="0">
      <text>
        <t>Source: Final report sections 11-15 and 16
Decision date: 20 August 2026
Context: Pre-populated diligence request RFI-016.</t>
      </text>
    </comment>
    <comment ref="H24" authorId="0" shapeId="0">
      <text>
        <t>Source: Final report sections 11-15 and 16
Decision date: 20 August 2026
Context: Pre-populated diligence request RFI-016.</t>
      </text>
    </comment>
    <comment ref="I24" authorId="0" shapeId="0">
      <text>
        <t>Source: Final report sections 11-15 and 16
Decision date: 20 August 2026
Context: Pre-populated diligence request RFI-016.</t>
      </text>
    </comment>
    <comment ref="J24" authorId="0" shapeId="0">
      <text>
        <t>Source: Final report sections 11-15 and 16
Decision date: 20 August 2026
Context: Pre-populated diligence request RFI-016.</t>
      </text>
    </comment>
    <comment ref="K24" authorId="0" shapeId="0">
      <text>
        <t>Source: Final report sections 11-15 and 16
Decision date: 20 August 2026
Context: Pre-populated diligence request RFI-016.</t>
      </text>
    </comment>
    <comment ref="L24" authorId="0" shapeId="0">
      <text>
        <t>Source: Final report sections 11-15 and 16
Decision date: 20 August 2026
Context: Pre-populated diligence request RFI-016.</t>
      </text>
    </comment>
    <comment ref="M24" authorId="0" shapeId="0">
      <text>
        <t>Source: Final report sections 11-15 and 16
Decision date: 20 August 2026
Context: Pre-populated diligence request RFI-016.</t>
      </text>
    </comment>
    <comment ref="O24" authorId="0" shapeId="0">
      <text>
        <t>Source: Final report sections 11-15 and 16
Decision date: 20 August 2026
Context: Pre-populated diligence request RFI-016.</t>
      </text>
    </comment>
    <comment ref="P24" authorId="0" shapeId="0">
      <text>
        <t>Source: Final report sections 11-15 and 16
Decision date: 20 August 2026
Context: Pre-populated diligence request RFI-016.</t>
      </text>
    </comment>
    <comment ref="Q24" authorId="0" shapeId="0">
      <text>
        <t>Source: Final report sections 11-15 and 16
Decision date: 20 August 2026
Context: Pre-populated diligence request RFI-016.</t>
      </text>
    </comment>
    <comment ref="S24" authorId="0" shapeId="0">
      <text>
        <t>Source: Final report sections 11-15 and 16
Decision date: 20 August 2026
Context: Pre-populated diligence request RFI-016.</t>
      </text>
    </comment>
    <comment ref="C25" authorId="0" shapeId="0">
      <text>
        <t>Source: Final report sections 11-15 and 16
Decision date: 20 August 2026
Context: Pre-populated diligence request RFI-017.</t>
      </text>
    </comment>
    <comment ref="D25" authorId="0" shapeId="0">
      <text>
        <t>Source: Final report sections 11-15 and 16
Decision date: 20 August 2026
Context: Pre-populated diligence request RFI-017.</t>
      </text>
    </comment>
    <comment ref="E25" authorId="0" shapeId="0">
      <text>
        <t>Source: Final report sections 11-15 and 16
Decision date: 20 August 2026
Context: Pre-populated diligence request RFI-017.</t>
      </text>
    </comment>
    <comment ref="F25" authorId="0" shapeId="0">
      <text>
        <t>Source: Final report sections 11-15 and 16
Decision date: 20 August 2026
Context: Pre-populated diligence request RFI-017.</t>
      </text>
    </comment>
    <comment ref="G25" authorId="0" shapeId="0">
      <text>
        <t>Source: Final report sections 11-15 and 16
Decision date: 20 August 2026
Context: Pre-populated diligence request RFI-017.</t>
      </text>
    </comment>
    <comment ref="H25" authorId="0" shapeId="0">
      <text>
        <t>Source: Final report sections 11-15 and 16
Decision date: 20 August 2026
Context: Pre-populated diligence request RFI-017.</t>
      </text>
    </comment>
    <comment ref="I25" authorId="0" shapeId="0">
      <text>
        <t>Source: Final report sections 11-15 and 16
Decision date: 20 August 2026
Context: Pre-populated diligence request RFI-017.</t>
      </text>
    </comment>
    <comment ref="J25" authorId="0" shapeId="0">
      <text>
        <t>Source: Final report sections 11-15 and 16
Decision date: 20 August 2026
Context: Pre-populated diligence request RFI-017.</t>
      </text>
    </comment>
    <comment ref="K25" authorId="0" shapeId="0">
      <text>
        <t>Source: Final report sections 11-15 and 16
Decision date: 20 August 2026
Context: Pre-populated diligence request RFI-017.</t>
      </text>
    </comment>
    <comment ref="L25" authorId="0" shapeId="0">
      <text>
        <t>Source: Final report sections 11-15 and 16
Decision date: 20 August 2026
Context: Pre-populated diligence request RFI-017.</t>
      </text>
    </comment>
    <comment ref="M25" authorId="0" shapeId="0">
      <text>
        <t>Source: Final report sections 11-15 and 16
Decision date: 20 August 2026
Context: Pre-populated diligence request RFI-017.</t>
      </text>
    </comment>
    <comment ref="O25" authorId="0" shapeId="0">
      <text>
        <t>Source: Final report sections 11-15 and 16
Decision date: 20 August 2026
Context: Pre-populated diligence request RFI-017.</t>
      </text>
    </comment>
    <comment ref="P25" authorId="0" shapeId="0">
      <text>
        <t>Source: Final report sections 11-15 and 16
Decision date: 20 August 2026
Context: Pre-populated diligence request RFI-017.</t>
      </text>
    </comment>
    <comment ref="Q25" authorId="0" shapeId="0">
      <text>
        <t>Source: Final report sections 11-15 and 16
Decision date: 20 August 2026
Context: Pre-populated diligence request RFI-017.</t>
      </text>
    </comment>
    <comment ref="S25" authorId="0" shapeId="0">
      <text>
        <t>Source: Final report sections 11-15 and 16
Decision date: 20 August 2026
Context: Pre-populated diligence request RFI-017.</t>
      </text>
    </comment>
    <comment ref="C26" authorId="0" shapeId="0">
      <text>
        <t>Source: Final report sections 11-15 and 16
Decision date: 20 August 2026
Context: Pre-populated diligence request RFI-018.</t>
      </text>
    </comment>
    <comment ref="D26" authorId="0" shapeId="0">
      <text>
        <t>Source: Final report sections 11-15 and 16
Decision date: 20 August 2026
Context: Pre-populated diligence request RFI-018.</t>
      </text>
    </comment>
    <comment ref="E26" authorId="0" shapeId="0">
      <text>
        <t>Source: Final report sections 11-15 and 16
Decision date: 20 August 2026
Context: Pre-populated diligence request RFI-018.</t>
      </text>
    </comment>
    <comment ref="F26" authorId="0" shapeId="0">
      <text>
        <t>Source: Final report sections 11-15 and 16
Decision date: 20 August 2026
Context: Pre-populated diligence request RFI-018.</t>
      </text>
    </comment>
    <comment ref="G26" authorId="0" shapeId="0">
      <text>
        <t>Source: Final report sections 11-15 and 16
Decision date: 20 August 2026
Context: Pre-populated diligence request RFI-018.</t>
      </text>
    </comment>
    <comment ref="H26" authorId="0" shapeId="0">
      <text>
        <t>Source: Final report sections 11-15 and 16
Decision date: 20 August 2026
Context: Pre-populated diligence request RFI-018.</t>
      </text>
    </comment>
    <comment ref="I26" authorId="0" shapeId="0">
      <text>
        <t>Source: Final report sections 11-15 and 16
Decision date: 20 August 2026
Context: Pre-populated diligence request RFI-018.</t>
      </text>
    </comment>
    <comment ref="J26" authorId="0" shapeId="0">
      <text>
        <t>Source: Final report sections 11-15 and 16
Decision date: 20 August 2026
Context: Pre-populated diligence request RFI-018.</t>
      </text>
    </comment>
    <comment ref="K26" authorId="0" shapeId="0">
      <text>
        <t>Source: Final report sections 11-15 and 16
Decision date: 20 August 2026
Context: Pre-populated diligence request RFI-018.</t>
      </text>
    </comment>
    <comment ref="L26" authorId="0" shapeId="0">
      <text>
        <t>Source: Final report sections 11-15 and 16
Decision date: 20 August 2026
Context: Pre-populated diligence request RFI-018.</t>
      </text>
    </comment>
    <comment ref="M26" authorId="0" shapeId="0">
      <text>
        <t>Source: Final report sections 11-15 and 16
Decision date: 20 August 2026
Context: Pre-populated diligence request RFI-018.</t>
      </text>
    </comment>
    <comment ref="O26" authorId="0" shapeId="0">
      <text>
        <t>Source: Final report sections 11-15 and 16
Decision date: 20 August 2026
Context: Pre-populated diligence request RFI-018.</t>
      </text>
    </comment>
    <comment ref="P26" authorId="0" shapeId="0">
      <text>
        <t>Source: Final report sections 11-15 and 16
Decision date: 20 August 2026
Context: Pre-populated diligence request RFI-018.</t>
      </text>
    </comment>
    <comment ref="Q26" authorId="0" shapeId="0">
      <text>
        <t>Source: Final report sections 11-15 and 16
Decision date: 20 August 2026
Context: Pre-populated diligence request RFI-018.</t>
      </text>
    </comment>
    <comment ref="S26" authorId="0" shapeId="0">
      <text>
        <t>Source: Final report sections 11-15 and 16
Decision date: 20 August 2026
Context: Pre-populated diligence request RFI-018.</t>
      </text>
    </comment>
    <comment ref="C27" authorId="0" shapeId="0">
      <text>
        <t>Source: Final report sections 11-15 and 16
Decision date: 20 August 2026
Context: Pre-populated diligence request RFI-019.</t>
      </text>
    </comment>
    <comment ref="D27" authorId="0" shapeId="0">
      <text>
        <t>Source: Final report sections 11-15 and 16
Decision date: 20 August 2026
Context: Pre-populated diligence request RFI-019.</t>
      </text>
    </comment>
    <comment ref="E27" authorId="0" shapeId="0">
      <text>
        <t>Source: Final report sections 11-15 and 16
Decision date: 20 August 2026
Context: Pre-populated diligence request RFI-019.</t>
      </text>
    </comment>
    <comment ref="F27" authorId="0" shapeId="0">
      <text>
        <t>Source: Final report sections 11-15 and 16
Decision date: 20 August 2026
Context: Pre-populated diligence request RFI-019.</t>
      </text>
    </comment>
    <comment ref="G27" authorId="0" shapeId="0">
      <text>
        <t>Source: Final report sections 11-15 and 16
Decision date: 20 August 2026
Context: Pre-populated diligence request RFI-019.</t>
      </text>
    </comment>
    <comment ref="H27" authorId="0" shapeId="0">
      <text>
        <t>Source: Final report sections 11-15 and 16
Decision date: 20 August 2026
Context: Pre-populated diligence request RFI-019.</t>
      </text>
    </comment>
    <comment ref="I27" authorId="0" shapeId="0">
      <text>
        <t>Source: Final report sections 11-15 and 16
Decision date: 20 August 2026
Context: Pre-populated diligence request RFI-019.</t>
      </text>
    </comment>
    <comment ref="J27" authorId="0" shapeId="0">
      <text>
        <t>Source: Final report sections 11-15 and 16
Decision date: 20 August 2026
Context: Pre-populated diligence request RFI-019.</t>
      </text>
    </comment>
    <comment ref="K27" authorId="0" shapeId="0">
      <text>
        <t>Source: Final report sections 11-15 and 16
Decision date: 20 August 2026
Context: Pre-populated diligence request RFI-019.</t>
      </text>
    </comment>
    <comment ref="L27" authorId="0" shapeId="0">
      <text>
        <t>Source: Final report sections 11-15 and 16
Decision date: 20 August 2026
Context: Pre-populated diligence request RFI-019.</t>
      </text>
    </comment>
    <comment ref="M27" authorId="0" shapeId="0">
      <text>
        <t>Source: Final report sections 11-15 and 16
Decision date: 20 August 2026
Context: Pre-populated diligence request RFI-019.</t>
      </text>
    </comment>
    <comment ref="O27" authorId="0" shapeId="0">
      <text>
        <t>Source: Final report sections 11-15 and 16
Decision date: 20 August 2026
Context: Pre-populated diligence request RFI-019.</t>
      </text>
    </comment>
    <comment ref="P27" authorId="0" shapeId="0">
      <text>
        <t>Source: Final report sections 11-15 and 16
Decision date: 20 August 2026
Context: Pre-populated diligence request RFI-019.</t>
      </text>
    </comment>
    <comment ref="Q27" authorId="0" shapeId="0">
      <text>
        <t>Source: Final report sections 11-15 and 16
Decision date: 20 August 2026
Context: Pre-populated diligence request RFI-019.</t>
      </text>
    </comment>
    <comment ref="S27" authorId="0" shapeId="0">
      <text>
        <t>Source: Final report sections 11-15 and 16
Decision date: 20 August 2026
Context: Pre-populated diligence request RFI-019.</t>
      </text>
    </comment>
    <comment ref="C28" authorId="0" shapeId="0">
      <text>
        <t>Source: Final report sections 11-15 and 16
Decision date: 20 August 2026
Context: Pre-populated diligence request RFI-020.</t>
      </text>
    </comment>
    <comment ref="D28" authorId="0" shapeId="0">
      <text>
        <t>Source: Final report sections 11-15 and 16
Decision date: 20 August 2026
Context: Pre-populated diligence request RFI-020.</t>
      </text>
    </comment>
    <comment ref="E28" authorId="0" shapeId="0">
      <text>
        <t>Source: Final report sections 11-15 and 16
Decision date: 20 August 2026
Context: Pre-populated diligence request RFI-020.</t>
      </text>
    </comment>
    <comment ref="F28" authorId="0" shapeId="0">
      <text>
        <t>Source: Final report sections 11-15 and 16
Decision date: 20 August 2026
Context: Pre-populated diligence request RFI-020.</t>
      </text>
    </comment>
    <comment ref="G28" authorId="0" shapeId="0">
      <text>
        <t>Source: Final report sections 11-15 and 16
Decision date: 20 August 2026
Context: Pre-populated diligence request RFI-020.</t>
      </text>
    </comment>
    <comment ref="H28" authorId="0" shapeId="0">
      <text>
        <t>Source: Final report sections 11-15 and 16
Decision date: 20 August 2026
Context: Pre-populated diligence request RFI-020.</t>
      </text>
    </comment>
    <comment ref="I28" authorId="0" shapeId="0">
      <text>
        <t>Source: Final report sections 11-15 and 16
Decision date: 20 August 2026
Context: Pre-populated diligence request RFI-020.</t>
      </text>
    </comment>
    <comment ref="J28" authorId="0" shapeId="0">
      <text>
        <t>Source: Final report sections 11-15 and 16
Decision date: 20 August 2026
Context: Pre-populated diligence request RFI-020.</t>
      </text>
    </comment>
    <comment ref="K28" authorId="0" shapeId="0">
      <text>
        <t>Source: Final report sections 11-15 and 16
Decision date: 20 August 2026
Context: Pre-populated diligence request RFI-020.</t>
      </text>
    </comment>
    <comment ref="L28" authorId="0" shapeId="0">
      <text>
        <t>Source: Final report sections 11-15 and 16
Decision date: 20 August 2026
Context: Pre-populated diligence request RFI-020.</t>
      </text>
    </comment>
    <comment ref="M28" authorId="0" shapeId="0">
      <text>
        <t>Source: Final report sections 11-15 and 16
Decision date: 20 August 2026
Context: Pre-populated diligence request RFI-020.</t>
      </text>
    </comment>
    <comment ref="O28" authorId="0" shapeId="0">
      <text>
        <t>Source: Final report sections 11-15 and 16
Decision date: 20 August 2026
Context: Pre-populated diligence request RFI-020.</t>
      </text>
    </comment>
    <comment ref="P28" authorId="0" shapeId="0">
      <text>
        <t>Source: Final report sections 11-15 and 16
Decision date: 20 August 2026
Context: Pre-populated diligence request RFI-020.</t>
      </text>
    </comment>
    <comment ref="Q28" authorId="0" shapeId="0">
      <text>
        <t>Source: Final report sections 11-15 and 16
Decision date: 20 August 2026
Context: Pre-populated diligence request RFI-020.</t>
      </text>
    </comment>
    <comment ref="S28" authorId="0" shapeId="0">
      <text>
        <t>Source: Final report sections 11-15 and 16
Decision date: 20 August 2026
Context: Pre-populated diligence request RFI-020.</t>
      </text>
    </comment>
    <comment ref="C29" authorId="0" shapeId="0">
      <text>
        <t>Source: Final report sections 11-15 and 16
Decision date: 20 August 2026
Context: Pre-populated diligence request RFI-021.</t>
      </text>
    </comment>
    <comment ref="D29" authorId="0" shapeId="0">
      <text>
        <t>Source: Final report sections 11-15 and 16
Decision date: 20 August 2026
Context: Pre-populated diligence request RFI-021.</t>
      </text>
    </comment>
    <comment ref="E29" authorId="0" shapeId="0">
      <text>
        <t>Source: Final report sections 11-15 and 16
Decision date: 20 August 2026
Context: Pre-populated diligence request RFI-021.</t>
      </text>
    </comment>
    <comment ref="F29" authorId="0" shapeId="0">
      <text>
        <t>Source: Final report sections 11-15 and 16
Decision date: 20 August 2026
Context: Pre-populated diligence request RFI-021.</t>
      </text>
    </comment>
    <comment ref="G29" authorId="0" shapeId="0">
      <text>
        <t>Source: Final report sections 11-15 and 16
Decision date: 20 August 2026
Context: Pre-populated diligence request RFI-021.</t>
      </text>
    </comment>
    <comment ref="H29" authorId="0" shapeId="0">
      <text>
        <t>Source: Final report sections 11-15 and 16
Decision date: 20 August 2026
Context: Pre-populated diligence request RFI-021.</t>
      </text>
    </comment>
    <comment ref="I29" authorId="0" shapeId="0">
      <text>
        <t>Source: Final report sections 11-15 and 16
Decision date: 20 August 2026
Context: Pre-populated diligence request RFI-021.</t>
      </text>
    </comment>
    <comment ref="J29" authorId="0" shapeId="0">
      <text>
        <t>Source: Final report sections 11-15 and 16
Decision date: 20 August 2026
Context: Pre-populated diligence request RFI-021.</t>
      </text>
    </comment>
    <comment ref="K29" authorId="0" shapeId="0">
      <text>
        <t>Source: Final report sections 11-15 and 16
Decision date: 20 August 2026
Context: Pre-populated diligence request RFI-021.</t>
      </text>
    </comment>
    <comment ref="L29" authorId="0" shapeId="0">
      <text>
        <t>Source: Final report sections 11-15 and 16
Decision date: 20 August 2026
Context: Pre-populated diligence request RFI-021.</t>
      </text>
    </comment>
    <comment ref="M29" authorId="0" shapeId="0">
      <text>
        <t>Source: Final report sections 11-15 and 16
Decision date: 20 August 2026
Context: Pre-populated diligence request RFI-021.</t>
      </text>
    </comment>
    <comment ref="O29" authorId="0" shapeId="0">
      <text>
        <t>Source: Final report sections 11-15 and 16
Decision date: 20 August 2026
Context: Pre-populated diligence request RFI-021.</t>
      </text>
    </comment>
    <comment ref="P29" authorId="0" shapeId="0">
      <text>
        <t>Source: Final report sections 11-15 and 16
Decision date: 20 August 2026
Context: Pre-populated diligence request RFI-021.</t>
      </text>
    </comment>
    <comment ref="Q29" authorId="0" shapeId="0">
      <text>
        <t>Source: Final report sections 11-15 and 16
Decision date: 20 August 2026
Context: Pre-populated diligence request RFI-021.</t>
      </text>
    </comment>
    <comment ref="S29" authorId="0" shapeId="0">
      <text>
        <t>Source: Final report sections 11-15 and 16
Decision date: 20 August 2026
Context: Pre-populated diligence request RFI-021.</t>
      </text>
    </comment>
    <comment ref="C30" authorId="0" shapeId="0">
      <text>
        <t>Source: Final report sections 11-15 and 16
Decision date: 20 August 2026
Context: Pre-populated diligence request RFI-022.</t>
      </text>
    </comment>
    <comment ref="D30" authorId="0" shapeId="0">
      <text>
        <t>Source: Final report sections 11-15 and 16
Decision date: 20 August 2026
Context: Pre-populated diligence request RFI-022.</t>
      </text>
    </comment>
    <comment ref="E30" authorId="0" shapeId="0">
      <text>
        <t>Source: Final report sections 11-15 and 16
Decision date: 20 August 2026
Context: Pre-populated diligence request RFI-022.</t>
      </text>
    </comment>
    <comment ref="F30" authorId="0" shapeId="0">
      <text>
        <t>Source: Final report sections 11-15 and 16
Decision date: 20 August 2026
Context: Pre-populated diligence request RFI-022.</t>
      </text>
    </comment>
    <comment ref="G30" authorId="0" shapeId="0">
      <text>
        <t>Source: Final report sections 11-15 and 16
Decision date: 20 August 2026
Context: Pre-populated diligence request RFI-022.</t>
      </text>
    </comment>
    <comment ref="H30" authorId="0" shapeId="0">
      <text>
        <t>Source: Final report sections 11-15 and 16
Decision date: 20 August 2026
Context: Pre-populated diligence request RFI-022.</t>
      </text>
    </comment>
    <comment ref="I30" authorId="0" shapeId="0">
      <text>
        <t>Source: Final report sections 11-15 and 16
Decision date: 20 August 2026
Context: Pre-populated diligence request RFI-022.</t>
      </text>
    </comment>
    <comment ref="J30" authorId="0" shapeId="0">
      <text>
        <t>Source: Final report sections 11-15 and 16
Decision date: 20 August 2026
Context: Pre-populated diligence request RFI-022.</t>
      </text>
    </comment>
    <comment ref="K30" authorId="0" shapeId="0">
      <text>
        <t>Source: Final report sections 11-15 and 16
Decision date: 20 August 2026
Context: Pre-populated diligence request RFI-022.</t>
      </text>
    </comment>
    <comment ref="L30" authorId="0" shapeId="0">
      <text>
        <t>Source: Final report sections 11-15 and 16
Decision date: 20 August 2026
Context: Pre-populated diligence request RFI-022.</t>
      </text>
    </comment>
    <comment ref="M30" authorId="0" shapeId="0">
      <text>
        <t>Source: Final report sections 11-15 and 16
Decision date: 20 August 2026
Context: Pre-populated diligence request RFI-022.</t>
      </text>
    </comment>
    <comment ref="O30" authorId="0" shapeId="0">
      <text>
        <t>Source: Final report sections 11-15 and 16
Decision date: 20 August 2026
Context: Pre-populated diligence request RFI-022.</t>
      </text>
    </comment>
    <comment ref="P30" authorId="0" shapeId="0">
      <text>
        <t>Source: Final report sections 11-15 and 16
Decision date: 20 August 2026
Context: Pre-populated diligence request RFI-022.</t>
      </text>
    </comment>
    <comment ref="Q30" authorId="0" shapeId="0">
      <text>
        <t>Source: Final report sections 11-15 and 16
Decision date: 20 August 2026
Context: Pre-populated diligence request RFI-022.</t>
      </text>
    </comment>
    <comment ref="S30" authorId="0" shapeId="0">
      <text>
        <t>Source: Final report sections 11-15 and 16
Decision date: 20 August 2026
Context: Pre-populated diligence request RFI-022.</t>
      </text>
    </comment>
    <comment ref="C31" authorId="0" shapeId="0">
      <text>
        <t>Source: Final report sections 11-15 and 16
Decision date: 20 August 2026
Context: Pre-populated diligence request RFI-023.</t>
      </text>
    </comment>
    <comment ref="D31" authorId="0" shapeId="0">
      <text>
        <t>Source: Final report sections 11-15 and 16
Decision date: 20 August 2026
Context: Pre-populated diligence request RFI-023.</t>
      </text>
    </comment>
    <comment ref="E31" authorId="0" shapeId="0">
      <text>
        <t>Source: Final report sections 11-15 and 16
Decision date: 20 August 2026
Context: Pre-populated diligence request RFI-023.</t>
      </text>
    </comment>
    <comment ref="F31" authorId="0" shapeId="0">
      <text>
        <t>Source: Final report sections 11-15 and 16
Decision date: 20 August 2026
Context: Pre-populated diligence request RFI-023.</t>
      </text>
    </comment>
    <comment ref="G31" authorId="0" shapeId="0">
      <text>
        <t>Source: Final report sections 11-15 and 16
Decision date: 20 August 2026
Context: Pre-populated diligence request RFI-023.</t>
      </text>
    </comment>
    <comment ref="H31" authorId="0" shapeId="0">
      <text>
        <t>Source: Final report sections 11-15 and 16
Decision date: 20 August 2026
Context: Pre-populated diligence request RFI-023.</t>
      </text>
    </comment>
    <comment ref="I31" authorId="0" shapeId="0">
      <text>
        <t>Source: Final report sections 11-15 and 16
Decision date: 20 August 2026
Context: Pre-populated diligence request RFI-023.</t>
      </text>
    </comment>
    <comment ref="J31" authorId="0" shapeId="0">
      <text>
        <t>Source: Final report sections 11-15 and 16
Decision date: 20 August 2026
Context: Pre-populated diligence request RFI-023.</t>
      </text>
    </comment>
    <comment ref="K31" authorId="0" shapeId="0">
      <text>
        <t>Source: Final report sections 11-15 and 16
Decision date: 20 August 2026
Context: Pre-populated diligence request RFI-023.</t>
      </text>
    </comment>
    <comment ref="L31" authorId="0" shapeId="0">
      <text>
        <t>Source: Final report sections 11-15 and 16
Decision date: 20 August 2026
Context: Pre-populated diligence request RFI-023.</t>
      </text>
    </comment>
    <comment ref="M31" authorId="0" shapeId="0">
      <text>
        <t>Source: Final report sections 11-15 and 16
Decision date: 20 August 2026
Context: Pre-populated diligence request RFI-023.</t>
      </text>
    </comment>
    <comment ref="O31" authorId="0" shapeId="0">
      <text>
        <t>Source: Final report sections 11-15 and 16
Decision date: 20 August 2026
Context: Pre-populated diligence request RFI-023.</t>
      </text>
    </comment>
    <comment ref="P31" authorId="0" shapeId="0">
      <text>
        <t>Source: Final report sections 11-15 and 16
Decision date: 20 August 2026
Context: Pre-populated diligence request RFI-023.</t>
      </text>
    </comment>
    <comment ref="Q31" authorId="0" shapeId="0">
      <text>
        <t>Source: Final report sections 11-15 and 16
Decision date: 20 August 2026
Context: Pre-populated diligence request RFI-023.</t>
      </text>
    </comment>
    <comment ref="S31" authorId="0" shapeId="0">
      <text>
        <t>Source: Final report sections 11-15 and 16
Decision date: 20 August 2026
Context: Pre-populated diligence request RFI-023.</t>
      </text>
    </comment>
    <comment ref="C32" authorId="0" shapeId="0">
      <text>
        <t>Source: Final report sections 11-15 and 16
Decision date: 20 August 2026
Context: Pre-populated diligence request RFI-024.</t>
      </text>
    </comment>
    <comment ref="D32" authorId="0" shapeId="0">
      <text>
        <t>Source: Final report sections 11-15 and 16
Decision date: 20 August 2026
Context: Pre-populated diligence request RFI-024.</t>
      </text>
    </comment>
    <comment ref="E32" authorId="0" shapeId="0">
      <text>
        <t>Source: Final report sections 11-15 and 16
Decision date: 20 August 2026
Context: Pre-populated diligence request RFI-024.</t>
      </text>
    </comment>
    <comment ref="F32" authorId="0" shapeId="0">
      <text>
        <t>Source: Final report sections 11-15 and 16
Decision date: 20 August 2026
Context: Pre-populated diligence request RFI-024.</t>
      </text>
    </comment>
    <comment ref="G32" authorId="0" shapeId="0">
      <text>
        <t>Source: Final report sections 11-15 and 16
Decision date: 20 August 2026
Context: Pre-populated diligence request RFI-024.</t>
      </text>
    </comment>
    <comment ref="H32" authorId="0" shapeId="0">
      <text>
        <t>Source: Final report sections 11-15 and 16
Decision date: 20 August 2026
Context: Pre-populated diligence request RFI-024.</t>
      </text>
    </comment>
    <comment ref="I32" authorId="0" shapeId="0">
      <text>
        <t>Source: Final report sections 11-15 and 16
Decision date: 20 August 2026
Context: Pre-populated diligence request RFI-024.</t>
      </text>
    </comment>
    <comment ref="J32" authorId="0" shapeId="0">
      <text>
        <t>Source: Final report sections 11-15 and 16
Decision date: 20 August 2026
Context: Pre-populated diligence request RFI-024.</t>
      </text>
    </comment>
    <comment ref="K32" authorId="0" shapeId="0">
      <text>
        <t>Source: Final report sections 11-15 and 16
Decision date: 20 August 2026
Context: Pre-populated diligence request RFI-024.</t>
      </text>
    </comment>
    <comment ref="L32" authorId="0" shapeId="0">
      <text>
        <t>Source: Final report sections 11-15 and 16
Decision date: 20 August 2026
Context: Pre-populated diligence request RFI-024.</t>
      </text>
    </comment>
    <comment ref="M32" authorId="0" shapeId="0">
      <text>
        <t>Source: Final report sections 11-15 and 16
Decision date: 20 August 2026
Context: Pre-populated diligence request RFI-024.</t>
      </text>
    </comment>
    <comment ref="O32" authorId="0" shapeId="0">
      <text>
        <t>Source: Final report sections 11-15 and 16
Decision date: 20 August 2026
Context: Pre-populated diligence request RFI-024.</t>
      </text>
    </comment>
    <comment ref="P32" authorId="0" shapeId="0">
      <text>
        <t>Source: Final report sections 11-15 and 16
Decision date: 20 August 2026
Context: Pre-populated diligence request RFI-024.</t>
      </text>
    </comment>
    <comment ref="Q32" authorId="0" shapeId="0">
      <text>
        <t>Source: Final report sections 11-15 and 16
Decision date: 20 August 2026
Context: Pre-populated diligence request RFI-024.</t>
      </text>
    </comment>
    <comment ref="S32" authorId="0" shapeId="0">
      <text>
        <t>Source: Final report sections 11-15 and 16
Decision date: 20 August 2026
Context: Pre-populated diligence request RFI-024.</t>
      </text>
    </comment>
    <comment ref="C33" authorId="0" shapeId="0">
      <text>
        <t>Source: Final report sections 11-15 and 16
Decision date: 20 August 2026
Context: Pre-populated diligence request RFI-025.</t>
      </text>
    </comment>
    <comment ref="D33" authorId="0" shapeId="0">
      <text>
        <t>Source: Final report sections 11-15 and 16
Decision date: 20 August 2026
Context: Pre-populated diligence request RFI-025.</t>
      </text>
    </comment>
    <comment ref="E33" authorId="0" shapeId="0">
      <text>
        <t>Source: Final report sections 11-15 and 16
Decision date: 20 August 2026
Context: Pre-populated diligence request RFI-025.</t>
      </text>
    </comment>
    <comment ref="F33" authorId="0" shapeId="0">
      <text>
        <t>Source: Final report sections 11-15 and 16
Decision date: 20 August 2026
Context: Pre-populated diligence request RFI-025.</t>
      </text>
    </comment>
    <comment ref="G33" authorId="0" shapeId="0">
      <text>
        <t>Source: Final report sections 11-15 and 16
Decision date: 20 August 2026
Context: Pre-populated diligence request RFI-025.</t>
      </text>
    </comment>
    <comment ref="H33" authorId="0" shapeId="0">
      <text>
        <t>Source: Final report sections 11-15 and 16
Decision date: 20 August 2026
Context: Pre-populated diligence request RFI-025.</t>
      </text>
    </comment>
    <comment ref="I33" authorId="0" shapeId="0">
      <text>
        <t>Source: Final report sections 11-15 and 16
Decision date: 20 August 2026
Context: Pre-populated diligence request RFI-025.</t>
      </text>
    </comment>
    <comment ref="J33" authorId="0" shapeId="0">
      <text>
        <t>Source: Final report sections 11-15 and 16
Decision date: 20 August 2026
Context: Pre-populated diligence request RFI-025.</t>
      </text>
    </comment>
    <comment ref="K33" authorId="0" shapeId="0">
      <text>
        <t>Source: Final report sections 11-15 and 16
Decision date: 20 August 2026
Context: Pre-populated diligence request RFI-025.</t>
      </text>
    </comment>
    <comment ref="L33" authorId="0" shapeId="0">
      <text>
        <t>Source: Final report sections 11-15 and 16
Decision date: 20 August 2026
Context: Pre-populated diligence request RFI-025.</t>
      </text>
    </comment>
    <comment ref="M33" authorId="0" shapeId="0">
      <text>
        <t>Source: Final report sections 11-15 and 16
Decision date: 20 August 2026
Context: Pre-populated diligence request RFI-025.</t>
      </text>
    </comment>
    <comment ref="O33" authorId="0" shapeId="0">
      <text>
        <t>Source: Final report sections 11-15 and 16
Decision date: 20 August 2026
Context: Pre-populated diligence request RFI-025.</t>
      </text>
    </comment>
    <comment ref="P33" authorId="0" shapeId="0">
      <text>
        <t>Source: Final report sections 11-15 and 16
Decision date: 20 August 2026
Context: Pre-populated diligence request RFI-025.</t>
      </text>
    </comment>
    <comment ref="Q33" authorId="0" shapeId="0">
      <text>
        <t>Source: Final report sections 11-15 and 16
Decision date: 20 August 2026
Context: Pre-populated diligence request RFI-025.</t>
      </text>
    </comment>
    <comment ref="S33" authorId="0" shapeId="0">
      <text>
        <t>Source: Final report sections 11-15 and 16
Decision date: 20 August 2026
Context: Pre-populated diligence request RFI-025.</t>
      </text>
    </comment>
    <comment ref="C34" authorId="0" shapeId="0">
      <text>
        <t>Source: Final report sections 11-15 and 16
Decision date: 20 August 2026
Context: Pre-populated diligence request RFI-026.</t>
      </text>
    </comment>
    <comment ref="D34" authorId="0" shapeId="0">
      <text>
        <t>Source: Final report sections 11-15 and 16
Decision date: 20 August 2026
Context: Pre-populated diligence request RFI-026.</t>
      </text>
    </comment>
    <comment ref="E34" authorId="0" shapeId="0">
      <text>
        <t>Source: Final report sections 11-15 and 16
Decision date: 20 August 2026
Context: Pre-populated diligence request RFI-026.</t>
      </text>
    </comment>
    <comment ref="F34" authorId="0" shapeId="0">
      <text>
        <t>Source: Final report sections 11-15 and 16
Decision date: 20 August 2026
Context: Pre-populated diligence request RFI-026.</t>
      </text>
    </comment>
    <comment ref="G34" authorId="0" shapeId="0">
      <text>
        <t>Source: Final report sections 11-15 and 16
Decision date: 20 August 2026
Context: Pre-populated diligence request RFI-026.</t>
      </text>
    </comment>
    <comment ref="H34" authorId="0" shapeId="0">
      <text>
        <t>Source: Final report sections 11-15 and 16
Decision date: 20 August 2026
Context: Pre-populated diligence request RFI-026.</t>
      </text>
    </comment>
    <comment ref="I34" authorId="0" shapeId="0">
      <text>
        <t>Source: Final report sections 11-15 and 16
Decision date: 20 August 2026
Context: Pre-populated diligence request RFI-026.</t>
      </text>
    </comment>
    <comment ref="J34" authorId="0" shapeId="0">
      <text>
        <t>Source: Final report sections 11-15 and 16
Decision date: 20 August 2026
Context: Pre-populated diligence request RFI-026.</t>
      </text>
    </comment>
    <comment ref="K34" authorId="0" shapeId="0">
      <text>
        <t>Source: Final report sections 11-15 and 16
Decision date: 20 August 2026
Context: Pre-populated diligence request RFI-026.</t>
      </text>
    </comment>
    <comment ref="L34" authorId="0" shapeId="0">
      <text>
        <t>Source: Final report sections 11-15 and 16
Decision date: 20 August 2026
Context: Pre-populated diligence request RFI-026.</t>
      </text>
    </comment>
    <comment ref="M34" authorId="0" shapeId="0">
      <text>
        <t>Source: Final report sections 11-15 and 16
Decision date: 20 August 2026
Context: Pre-populated diligence request RFI-026.</t>
      </text>
    </comment>
    <comment ref="O34" authorId="0" shapeId="0">
      <text>
        <t>Source: Final report sections 11-15 and 16
Decision date: 20 August 2026
Context: Pre-populated diligence request RFI-026.</t>
      </text>
    </comment>
    <comment ref="P34" authorId="0" shapeId="0">
      <text>
        <t>Source: Final report sections 11-15 and 16
Decision date: 20 August 2026
Context: Pre-populated diligence request RFI-026.</t>
      </text>
    </comment>
    <comment ref="Q34" authorId="0" shapeId="0">
      <text>
        <t>Source: Final report sections 11-15 and 16
Decision date: 20 August 2026
Context: Pre-populated diligence request RFI-026.</t>
      </text>
    </comment>
    <comment ref="S34" authorId="0" shapeId="0">
      <text>
        <t>Source: Final report sections 11-15 and 16
Decision date: 20 August 2026
Context: Pre-populated diligence request RFI-026.</t>
      </text>
    </comment>
    <comment ref="C35" authorId="0" shapeId="0">
      <text>
        <t>Source: Final report sections 11-15 and 16
Decision date: 20 August 2026
Context: Pre-populated diligence request RFI-027.</t>
      </text>
    </comment>
    <comment ref="D35" authorId="0" shapeId="0">
      <text>
        <t>Source: Final report sections 11-15 and 16
Decision date: 20 August 2026
Context: Pre-populated diligence request RFI-027.</t>
      </text>
    </comment>
    <comment ref="E35" authorId="0" shapeId="0">
      <text>
        <t>Source: Final report sections 11-15 and 16
Decision date: 20 August 2026
Context: Pre-populated diligence request RFI-027.</t>
      </text>
    </comment>
    <comment ref="F35" authorId="0" shapeId="0">
      <text>
        <t>Source: Final report sections 11-15 and 16
Decision date: 20 August 2026
Context: Pre-populated diligence request RFI-027.</t>
      </text>
    </comment>
    <comment ref="G35" authorId="0" shapeId="0">
      <text>
        <t>Source: Final report sections 11-15 and 16
Decision date: 20 August 2026
Context: Pre-populated diligence request RFI-027.</t>
      </text>
    </comment>
    <comment ref="H35" authorId="0" shapeId="0">
      <text>
        <t>Source: Final report sections 11-15 and 16
Decision date: 20 August 2026
Context: Pre-populated diligence request RFI-027.</t>
      </text>
    </comment>
    <comment ref="I35" authorId="0" shapeId="0">
      <text>
        <t>Source: Final report sections 11-15 and 16
Decision date: 20 August 2026
Context: Pre-populated diligence request RFI-027.</t>
      </text>
    </comment>
    <comment ref="J35" authorId="0" shapeId="0">
      <text>
        <t>Source: Final report sections 11-15 and 16
Decision date: 20 August 2026
Context: Pre-populated diligence request RFI-027.</t>
      </text>
    </comment>
    <comment ref="K35" authorId="0" shapeId="0">
      <text>
        <t>Source: Final report sections 11-15 and 16
Decision date: 20 August 2026
Context: Pre-populated diligence request RFI-027.</t>
      </text>
    </comment>
    <comment ref="L35" authorId="0" shapeId="0">
      <text>
        <t>Source: Final report sections 11-15 and 16
Decision date: 20 August 2026
Context: Pre-populated diligence request RFI-027.</t>
      </text>
    </comment>
    <comment ref="M35" authorId="0" shapeId="0">
      <text>
        <t>Source: Final report sections 11-15 and 16
Decision date: 20 August 2026
Context: Pre-populated diligence request RFI-027.</t>
      </text>
    </comment>
    <comment ref="O35" authorId="0" shapeId="0">
      <text>
        <t>Source: Final report sections 11-15 and 16
Decision date: 20 August 2026
Context: Pre-populated diligence request RFI-027.</t>
      </text>
    </comment>
    <comment ref="P35" authorId="0" shapeId="0">
      <text>
        <t>Source: Final report sections 11-15 and 16
Decision date: 20 August 2026
Context: Pre-populated diligence request RFI-027.</t>
      </text>
    </comment>
    <comment ref="Q35" authorId="0" shapeId="0">
      <text>
        <t>Source: Final report sections 11-15 and 16
Decision date: 20 August 2026
Context: Pre-populated diligence request RFI-027.</t>
      </text>
    </comment>
    <comment ref="S35" authorId="0" shapeId="0">
      <text>
        <t>Source: Final report sections 11-15 and 16
Decision date: 20 August 2026
Context: Pre-populated diligence request RFI-027.</t>
      </text>
    </comment>
    <comment ref="C36" authorId="0" shapeId="0">
      <text>
        <t>Source: Final report sections 11-15 and 16
Decision date: 20 August 2026
Context: Pre-populated diligence request RFI-028.</t>
      </text>
    </comment>
    <comment ref="D36" authorId="0" shapeId="0">
      <text>
        <t>Source: Final report sections 11-15 and 16
Decision date: 20 August 2026
Context: Pre-populated diligence request RFI-028.</t>
      </text>
    </comment>
    <comment ref="E36" authorId="0" shapeId="0">
      <text>
        <t>Source: Final report sections 11-15 and 16
Decision date: 20 August 2026
Context: Pre-populated diligence request RFI-028.</t>
      </text>
    </comment>
    <comment ref="F36" authorId="0" shapeId="0">
      <text>
        <t>Source: Final report sections 11-15 and 16
Decision date: 20 August 2026
Context: Pre-populated diligence request RFI-028.</t>
      </text>
    </comment>
    <comment ref="G36" authorId="0" shapeId="0">
      <text>
        <t>Source: Final report sections 11-15 and 16
Decision date: 20 August 2026
Context: Pre-populated diligence request RFI-028.</t>
      </text>
    </comment>
    <comment ref="H36" authorId="0" shapeId="0">
      <text>
        <t>Source: Final report sections 11-15 and 16
Decision date: 20 August 2026
Context: Pre-populated diligence request RFI-028.</t>
      </text>
    </comment>
    <comment ref="I36" authorId="0" shapeId="0">
      <text>
        <t>Source: Final report sections 11-15 and 16
Decision date: 20 August 2026
Context: Pre-populated diligence request RFI-028.</t>
      </text>
    </comment>
    <comment ref="J36" authorId="0" shapeId="0">
      <text>
        <t>Source: Final report sections 11-15 and 16
Decision date: 20 August 2026
Context: Pre-populated diligence request RFI-028.</t>
      </text>
    </comment>
    <comment ref="K36" authorId="0" shapeId="0">
      <text>
        <t>Source: Final report sections 11-15 and 16
Decision date: 20 August 2026
Context: Pre-populated diligence request RFI-028.</t>
      </text>
    </comment>
    <comment ref="L36" authorId="0" shapeId="0">
      <text>
        <t>Source: Final report sections 11-15 and 16
Decision date: 20 August 2026
Context: Pre-populated diligence request RFI-028.</t>
      </text>
    </comment>
    <comment ref="M36" authorId="0" shapeId="0">
      <text>
        <t>Source: Final report sections 11-15 and 16
Decision date: 20 August 2026
Context: Pre-populated diligence request RFI-028.</t>
      </text>
    </comment>
    <comment ref="O36" authorId="0" shapeId="0">
      <text>
        <t>Source: Final report sections 11-15 and 16
Decision date: 20 August 2026
Context: Pre-populated diligence request RFI-028.</t>
      </text>
    </comment>
    <comment ref="P36" authorId="0" shapeId="0">
      <text>
        <t>Source: Final report sections 11-15 and 16
Decision date: 20 August 2026
Context: Pre-populated diligence request RFI-028.</t>
      </text>
    </comment>
    <comment ref="Q36" authorId="0" shapeId="0">
      <text>
        <t>Source: Final report sections 11-15 and 16
Decision date: 20 August 2026
Context: Pre-populated diligence request RFI-028.</t>
      </text>
    </comment>
    <comment ref="S36" authorId="0" shapeId="0">
      <text>
        <t>Source: Final report sections 11-15 and 16
Decision date: 20 August 2026
Context: Pre-populated diligence request RFI-028.</t>
      </text>
    </comment>
    <comment ref="C37" authorId="0" shapeId="0">
      <text>
        <t>Source: Final report sections 11-15 and 16
Decision date: 20 August 2026
Context: Pre-populated diligence request RFI-029.</t>
      </text>
    </comment>
    <comment ref="D37" authorId="0" shapeId="0">
      <text>
        <t>Source: Final report sections 11-15 and 16
Decision date: 20 August 2026
Context: Pre-populated diligence request RFI-029.</t>
      </text>
    </comment>
    <comment ref="E37" authorId="0" shapeId="0">
      <text>
        <t>Source: Final report sections 11-15 and 16
Decision date: 20 August 2026
Context: Pre-populated diligence request RFI-029.</t>
      </text>
    </comment>
    <comment ref="F37" authorId="0" shapeId="0">
      <text>
        <t>Source: Final report sections 11-15 and 16
Decision date: 20 August 2026
Context: Pre-populated diligence request RFI-029.</t>
      </text>
    </comment>
    <comment ref="G37" authorId="0" shapeId="0">
      <text>
        <t>Source: Final report sections 11-15 and 16
Decision date: 20 August 2026
Context: Pre-populated diligence request RFI-029.</t>
      </text>
    </comment>
    <comment ref="H37" authorId="0" shapeId="0">
      <text>
        <t>Source: Final report sections 11-15 and 16
Decision date: 20 August 2026
Context: Pre-populated diligence request RFI-029.</t>
      </text>
    </comment>
    <comment ref="I37" authorId="0" shapeId="0">
      <text>
        <t>Source: Final report sections 11-15 and 16
Decision date: 20 August 2026
Context: Pre-populated diligence request RFI-029.</t>
      </text>
    </comment>
    <comment ref="J37" authorId="0" shapeId="0">
      <text>
        <t>Source: Final report sections 11-15 and 16
Decision date: 20 August 2026
Context: Pre-populated diligence request RFI-029.</t>
      </text>
    </comment>
    <comment ref="K37" authorId="0" shapeId="0">
      <text>
        <t>Source: Final report sections 11-15 and 16
Decision date: 20 August 2026
Context: Pre-populated diligence request RFI-029.</t>
      </text>
    </comment>
    <comment ref="L37" authorId="0" shapeId="0">
      <text>
        <t>Source: Final report sections 11-15 and 16
Decision date: 20 August 2026
Context: Pre-populated diligence request RFI-029.</t>
      </text>
    </comment>
    <comment ref="M37" authorId="0" shapeId="0">
      <text>
        <t>Source: Final report sections 11-15 and 16
Decision date: 20 August 2026
Context: Pre-populated diligence request RFI-029.</t>
      </text>
    </comment>
    <comment ref="O37" authorId="0" shapeId="0">
      <text>
        <t>Source: Final report sections 11-15 and 16
Decision date: 20 August 2026
Context: Pre-populated diligence request RFI-029.</t>
      </text>
    </comment>
    <comment ref="P37" authorId="0" shapeId="0">
      <text>
        <t>Source: Final report sections 11-15 and 16
Decision date: 20 August 2026
Context: Pre-populated diligence request RFI-029.</t>
      </text>
    </comment>
    <comment ref="Q37" authorId="0" shapeId="0">
      <text>
        <t>Source: Final report sections 11-15 and 16
Decision date: 20 August 2026
Context: Pre-populated diligence request RFI-029.</t>
      </text>
    </comment>
    <comment ref="S37" authorId="0" shapeId="0">
      <text>
        <t>Source: Final report sections 11-15 and 16
Decision date: 20 August 2026
Context: Pre-populated diligence request RFI-029.</t>
      </text>
    </comment>
    <comment ref="C38" authorId="0" shapeId="0">
      <text>
        <t>Source: Final report sections 11-15 and 16
Decision date: 20 August 2026
Context: Pre-populated diligence request RFI-030.</t>
      </text>
    </comment>
    <comment ref="D38" authorId="0" shapeId="0">
      <text>
        <t>Source: Final report sections 11-15 and 16
Decision date: 20 August 2026
Context: Pre-populated diligence request RFI-030.</t>
      </text>
    </comment>
    <comment ref="E38" authorId="0" shapeId="0">
      <text>
        <t>Source: Final report sections 11-15 and 16
Decision date: 20 August 2026
Context: Pre-populated diligence request RFI-030.</t>
      </text>
    </comment>
    <comment ref="F38" authorId="0" shapeId="0">
      <text>
        <t>Source: Final report sections 11-15 and 16
Decision date: 20 August 2026
Context: Pre-populated diligence request RFI-030.</t>
      </text>
    </comment>
    <comment ref="G38" authorId="0" shapeId="0">
      <text>
        <t>Source: Final report sections 11-15 and 16
Decision date: 20 August 2026
Context: Pre-populated diligence request RFI-030.</t>
      </text>
    </comment>
    <comment ref="H38" authorId="0" shapeId="0">
      <text>
        <t>Source: Final report sections 11-15 and 16
Decision date: 20 August 2026
Context: Pre-populated diligence request RFI-030.</t>
      </text>
    </comment>
    <comment ref="I38" authorId="0" shapeId="0">
      <text>
        <t>Source: Final report sections 11-15 and 16
Decision date: 20 August 2026
Context: Pre-populated diligence request RFI-030.</t>
      </text>
    </comment>
    <comment ref="J38" authorId="0" shapeId="0">
      <text>
        <t>Source: Final report sections 11-15 and 16
Decision date: 20 August 2026
Context: Pre-populated diligence request RFI-030.</t>
      </text>
    </comment>
    <comment ref="K38" authorId="0" shapeId="0">
      <text>
        <t>Source: Final report sections 11-15 and 16
Decision date: 20 August 2026
Context: Pre-populated diligence request RFI-030.</t>
      </text>
    </comment>
    <comment ref="L38" authorId="0" shapeId="0">
      <text>
        <t>Source: Final report sections 11-15 and 16
Decision date: 20 August 2026
Context: Pre-populated diligence request RFI-030.</t>
      </text>
    </comment>
    <comment ref="M38" authorId="0" shapeId="0">
      <text>
        <t>Source: Final report sections 11-15 and 16
Decision date: 20 August 2026
Context: Pre-populated diligence request RFI-030.</t>
      </text>
    </comment>
    <comment ref="O38" authorId="0" shapeId="0">
      <text>
        <t>Source: Final report sections 11-15 and 16
Decision date: 20 August 2026
Context: Pre-populated diligence request RFI-030.</t>
      </text>
    </comment>
    <comment ref="P38" authorId="0" shapeId="0">
      <text>
        <t>Source: Final report sections 11-15 and 16
Decision date: 20 August 2026
Context: Pre-populated diligence request RFI-030.</t>
      </text>
    </comment>
    <comment ref="Q38" authorId="0" shapeId="0">
      <text>
        <t>Source: Final report sections 11-15 and 16
Decision date: 20 August 2026
Context: Pre-populated diligence request RFI-030.</t>
      </text>
    </comment>
    <comment ref="S38" authorId="0" shapeId="0">
      <text>
        <t>Source: Final report sections 11-15 and 16
Decision date: 20 August 2026
Context: Pre-populated diligence request RFI-030.</t>
      </text>
    </comment>
    <comment ref="C39" authorId="0" shapeId="0">
      <text>
        <t>Source: Final report sections 11-15 and 16
Decision date: 20 August 2026
Context: Pre-populated diligence request RFI-031.</t>
      </text>
    </comment>
    <comment ref="D39" authorId="0" shapeId="0">
      <text>
        <t>Source: Final report sections 11-15 and 16
Decision date: 20 August 2026
Context: Pre-populated diligence request RFI-031.</t>
      </text>
    </comment>
    <comment ref="E39" authorId="0" shapeId="0">
      <text>
        <t>Source: Final report sections 11-15 and 16
Decision date: 20 August 2026
Context: Pre-populated diligence request RFI-031.</t>
      </text>
    </comment>
    <comment ref="F39" authorId="0" shapeId="0">
      <text>
        <t>Source: Final report sections 11-15 and 16
Decision date: 20 August 2026
Context: Pre-populated diligence request RFI-031.</t>
      </text>
    </comment>
    <comment ref="G39" authorId="0" shapeId="0">
      <text>
        <t>Source: Final report sections 11-15 and 16
Decision date: 20 August 2026
Context: Pre-populated diligence request RFI-031.</t>
      </text>
    </comment>
    <comment ref="H39" authorId="0" shapeId="0">
      <text>
        <t>Source: Final report sections 11-15 and 16
Decision date: 20 August 2026
Context: Pre-populated diligence request RFI-031.</t>
      </text>
    </comment>
    <comment ref="I39" authorId="0" shapeId="0">
      <text>
        <t>Source: Final report sections 11-15 and 16
Decision date: 20 August 2026
Context: Pre-populated diligence request RFI-031.</t>
      </text>
    </comment>
    <comment ref="J39" authorId="0" shapeId="0">
      <text>
        <t>Source: Final report sections 11-15 and 16
Decision date: 20 August 2026
Context: Pre-populated diligence request RFI-031.</t>
      </text>
    </comment>
    <comment ref="K39" authorId="0" shapeId="0">
      <text>
        <t>Source: Final report sections 11-15 and 16
Decision date: 20 August 2026
Context: Pre-populated diligence request RFI-031.</t>
      </text>
    </comment>
    <comment ref="L39" authorId="0" shapeId="0">
      <text>
        <t>Source: Final report sections 11-15 and 16
Decision date: 20 August 2026
Context: Pre-populated diligence request RFI-031.</t>
      </text>
    </comment>
    <comment ref="M39" authorId="0" shapeId="0">
      <text>
        <t>Source: Final report sections 11-15 and 16
Decision date: 20 August 2026
Context: Pre-populated diligence request RFI-031.</t>
      </text>
    </comment>
    <comment ref="O39" authorId="0" shapeId="0">
      <text>
        <t>Source: Final report sections 11-15 and 16
Decision date: 20 August 2026
Context: Pre-populated diligence request RFI-031.</t>
      </text>
    </comment>
    <comment ref="P39" authorId="0" shapeId="0">
      <text>
        <t>Source: Final report sections 11-15 and 16
Decision date: 20 August 2026
Context: Pre-populated diligence request RFI-031.</t>
      </text>
    </comment>
    <comment ref="Q39" authorId="0" shapeId="0">
      <text>
        <t>Source: Final report sections 11-15 and 16
Decision date: 20 August 2026
Context: Pre-populated diligence request RFI-031.</t>
      </text>
    </comment>
    <comment ref="S39" authorId="0" shapeId="0">
      <text>
        <t>Source: Final report sections 11-15 and 16
Decision date: 20 August 2026
Context: Pre-populated diligence request RFI-031.</t>
      </text>
    </comment>
    <comment ref="C40" authorId="0" shapeId="0">
      <text>
        <t>Source: Final report sections 11-15 and 16
Decision date: 20 August 2026
Context: Pre-populated diligence request RFI-032.</t>
      </text>
    </comment>
    <comment ref="D40" authorId="0" shapeId="0">
      <text>
        <t>Source: Final report sections 11-15 and 16
Decision date: 20 August 2026
Context: Pre-populated diligence request RFI-032.</t>
      </text>
    </comment>
    <comment ref="E40" authorId="0" shapeId="0">
      <text>
        <t>Source: Final report sections 11-15 and 16
Decision date: 20 August 2026
Context: Pre-populated diligence request RFI-032.</t>
      </text>
    </comment>
    <comment ref="F40" authorId="0" shapeId="0">
      <text>
        <t>Source: Final report sections 11-15 and 16
Decision date: 20 August 2026
Context: Pre-populated diligence request RFI-032.</t>
      </text>
    </comment>
    <comment ref="G40" authorId="0" shapeId="0">
      <text>
        <t>Source: Final report sections 11-15 and 16
Decision date: 20 August 2026
Context: Pre-populated diligence request RFI-032.</t>
      </text>
    </comment>
    <comment ref="H40" authorId="0" shapeId="0">
      <text>
        <t>Source: Final report sections 11-15 and 16
Decision date: 20 August 2026
Context: Pre-populated diligence request RFI-032.</t>
      </text>
    </comment>
    <comment ref="I40" authorId="0" shapeId="0">
      <text>
        <t>Source: Final report sections 11-15 and 16
Decision date: 20 August 2026
Context: Pre-populated diligence request RFI-032.</t>
      </text>
    </comment>
    <comment ref="J40" authorId="0" shapeId="0">
      <text>
        <t>Source: Final report sections 11-15 and 16
Decision date: 20 August 2026
Context: Pre-populated diligence request RFI-032.</t>
      </text>
    </comment>
    <comment ref="K40" authorId="0" shapeId="0">
      <text>
        <t>Source: Final report sections 11-15 and 16
Decision date: 20 August 2026
Context: Pre-populated diligence request RFI-032.</t>
      </text>
    </comment>
    <comment ref="L40" authorId="0" shapeId="0">
      <text>
        <t>Source: Final report sections 11-15 and 16
Decision date: 20 August 2026
Context: Pre-populated diligence request RFI-032.</t>
      </text>
    </comment>
    <comment ref="M40" authorId="0" shapeId="0">
      <text>
        <t>Source: Final report sections 11-15 and 16
Decision date: 20 August 2026
Context: Pre-populated diligence request RFI-032.</t>
      </text>
    </comment>
    <comment ref="O40" authorId="0" shapeId="0">
      <text>
        <t>Source: Final report sections 11-15 and 16
Decision date: 20 August 2026
Context: Pre-populated diligence request RFI-032.</t>
      </text>
    </comment>
    <comment ref="P40" authorId="0" shapeId="0">
      <text>
        <t>Source: Final report sections 11-15 and 16
Decision date: 20 August 2026
Context: Pre-populated diligence request RFI-032.</t>
      </text>
    </comment>
    <comment ref="Q40" authorId="0" shapeId="0">
      <text>
        <t>Source: Final report sections 11-15 and 16
Decision date: 20 August 2026
Context: Pre-populated diligence request RFI-032.</t>
      </text>
    </comment>
    <comment ref="S40" authorId="0" shapeId="0">
      <text>
        <t>Source: Final report sections 11-15 and 16
Decision date: 20 August 2026
Context: Pre-populated diligence request RFI-032.</t>
      </text>
    </comment>
    <comment ref="C41" authorId="0" shapeId="0">
      <text>
        <t>Source: Final report sections 11-15 and 16
Decision date: 20 August 2026
Context: Pre-populated diligence request RFI-033.</t>
      </text>
    </comment>
    <comment ref="D41" authorId="0" shapeId="0">
      <text>
        <t>Source: Final report sections 11-15 and 16
Decision date: 20 August 2026
Context: Pre-populated diligence request RFI-033.</t>
      </text>
    </comment>
    <comment ref="E41" authorId="0" shapeId="0">
      <text>
        <t>Source: Final report sections 11-15 and 16
Decision date: 20 August 2026
Context: Pre-populated diligence request RFI-033.</t>
      </text>
    </comment>
    <comment ref="F41" authorId="0" shapeId="0">
      <text>
        <t>Source: Final report sections 11-15 and 16
Decision date: 20 August 2026
Context: Pre-populated diligence request RFI-033.</t>
      </text>
    </comment>
    <comment ref="G41" authorId="0" shapeId="0">
      <text>
        <t>Source: Final report sections 11-15 and 16
Decision date: 20 August 2026
Context: Pre-populated diligence request RFI-033.</t>
      </text>
    </comment>
    <comment ref="H41" authorId="0" shapeId="0">
      <text>
        <t>Source: Final report sections 11-15 and 16
Decision date: 20 August 2026
Context: Pre-populated diligence request RFI-033.</t>
      </text>
    </comment>
    <comment ref="I41" authorId="0" shapeId="0">
      <text>
        <t>Source: Final report sections 11-15 and 16
Decision date: 20 August 2026
Context: Pre-populated diligence request RFI-033.</t>
      </text>
    </comment>
    <comment ref="J41" authorId="0" shapeId="0">
      <text>
        <t>Source: Final report sections 11-15 and 16
Decision date: 20 August 2026
Context: Pre-populated diligence request RFI-033.</t>
      </text>
    </comment>
    <comment ref="K41" authorId="0" shapeId="0">
      <text>
        <t>Source: Final report sections 11-15 and 16
Decision date: 20 August 2026
Context: Pre-populated diligence request RFI-033.</t>
      </text>
    </comment>
    <comment ref="L41" authorId="0" shapeId="0">
      <text>
        <t>Source: Final report sections 11-15 and 16
Decision date: 20 August 2026
Context: Pre-populated diligence request RFI-033.</t>
      </text>
    </comment>
    <comment ref="M41" authorId="0" shapeId="0">
      <text>
        <t>Source: Final report sections 11-15 and 16
Decision date: 20 August 2026
Context: Pre-populated diligence request RFI-033.</t>
      </text>
    </comment>
    <comment ref="O41" authorId="0" shapeId="0">
      <text>
        <t>Source: Final report sections 11-15 and 16
Decision date: 20 August 2026
Context: Pre-populated diligence request RFI-033.</t>
      </text>
    </comment>
    <comment ref="P41" authorId="0" shapeId="0">
      <text>
        <t>Source: Final report sections 11-15 and 16
Decision date: 20 August 2026
Context: Pre-populated diligence request RFI-033.</t>
      </text>
    </comment>
    <comment ref="Q41" authorId="0" shapeId="0">
      <text>
        <t>Source: Final report sections 11-15 and 16
Decision date: 20 August 2026
Context: Pre-populated diligence request RFI-033.</t>
      </text>
    </comment>
    <comment ref="S41" authorId="0" shapeId="0">
      <text>
        <t>Source: Final report sections 11-15 and 16
Decision date: 20 August 2026
Context: Pre-populated diligence request RFI-033.</t>
      </text>
    </comment>
    <comment ref="C42" authorId="0" shapeId="0">
      <text>
        <t>Source: Final report sections 11-15 and 16
Decision date: 20 August 2026
Context: Pre-populated diligence request RFI-034.</t>
      </text>
    </comment>
    <comment ref="D42" authorId="0" shapeId="0">
      <text>
        <t>Source: Final report sections 11-15 and 16
Decision date: 20 August 2026
Context: Pre-populated diligence request RFI-034.</t>
      </text>
    </comment>
    <comment ref="E42" authorId="0" shapeId="0">
      <text>
        <t>Source: Final report sections 11-15 and 16
Decision date: 20 August 2026
Context: Pre-populated diligence request RFI-034.</t>
      </text>
    </comment>
    <comment ref="F42" authorId="0" shapeId="0">
      <text>
        <t>Source: Final report sections 11-15 and 16
Decision date: 20 August 2026
Context: Pre-populated diligence request RFI-034.</t>
      </text>
    </comment>
    <comment ref="G42" authorId="0" shapeId="0">
      <text>
        <t>Source: Final report sections 11-15 and 16
Decision date: 20 August 2026
Context: Pre-populated diligence request RFI-034.</t>
      </text>
    </comment>
    <comment ref="H42" authorId="0" shapeId="0">
      <text>
        <t>Source: Final report sections 11-15 and 16
Decision date: 20 August 2026
Context: Pre-populated diligence request RFI-034.</t>
      </text>
    </comment>
    <comment ref="I42" authorId="0" shapeId="0">
      <text>
        <t>Source: Final report sections 11-15 and 16
Decision date: 20 August 2026
Context: Pre-populated diligence request RFI-034.</t>
      </text>
    </comment>
    <comment ref="J42" authorId="0" shapeId="0">
      <text>
        <t>Source: Final report sections 11-15 and 16
Decision date: 20 August 2026
Context: Pre-populated diligence request RFI-034.</t>
      </text>
    </comment>
    <comment ref="K42" authorId="0" shapeId="0">
      <text>
        <t>Source: Final report sections 11-15 and 16
Decision date: 20 August 2026
Context: Pre-populated diligence request RFI-034.</t>
      </text>
    </comment>
    <comment ref="L42" authorId="0" shapeId="0">
      <text>
        <t>Source: Final report sections 11-15 and 16
Decision date: 20 August 2026
Context: Pre-populated diligence request RFI-034.</t>
      </text>
    </comment>
    <comment ref="M42" authorId="0" shapeId="0">
      <text>
        <t>Source: Final report sections 11-15 and 16
Decision date: 20 August 2026
Context: Pre-populated diligence request RFI-034.</t>
      </text>
    </comment>
    <comment ref="O42" authorId="0" shapeId="0">
      <text>
        <t>Source: Final report sections 11-15 and 16
Decision date: 20 August 2026
Context: Pre-populated diligence request RFI-034.</t>
      </text>
    </comment>
    <comment ref="P42" authorId="0" shapeId="0">
      <text>
        <t>Source: Final report sections 11-15 and 16
Decision date: 20 August 2026
Context: Pre-populated diligence request RFI-034.</t>
      </text>
    </comment>
    <comment ref="Q42" authorId="0" shapeId="0">
      <text>
        <t>Source: Final report sections 11-15 and 16
Decision date: 20 August 2026
Context: Pre-populated diligence request RFI-034.</t>
      </text>
    </comment>
    <comment ref="S42" authorId="0" shapeId="0">
      <text>
        <t>Source: Final report sections 11-15 and 16
Decision date: 20 August 2026
Context: Pre-populated diligence request RFI-034.</t>
      </text>
    </comment>
    <comment ref="C43" authorId="0" shapeId="0">
      <text>
        <t>Source: Final report sections 11-15 and 16
Decision date: 20 August 2026
Context: Pre-populated diligence request RFI-035.</t>
      </text>
    </comment>
    <comment ref="D43" authorId="0" shapeId="0">
      <text>
        <t>Source: Final report sections 11-15 and 16
Decision date: 20 August 2026
Context: Pre-populated diligence request RFI-035.</t>
      </text>
    </comment>
    <comment ref="E43" authorId="0" shapeId="0">
      <text>
        <t>Source: Final report sections 11-15 and 16
Decision date: 20 August 2026
Context: Pre-populated diligence request RFI-035.</t>
      </text>
    </comment>
    <comment ref="F43" authorId="0" shapeId="0">
      <text>
        <t>Source: Final report sections 11-15 and 16
Decision date: 20 August 2026
Context: Pre-populated diligence request RFI-035.</t>
      </text>
    </comment>
    <comment ref="G43" authorId="0" shapeId="0">
      <text>
        <t>Source: Final report sections 11-15 and 16
Decision date: 20 August 2026
Context: Pre-populated diligence request RFI-035.</t>
      </text>
    </comment>
    <comment ref="H43" authorId="0" shapeId="0">
      <text>
        <t>Source: Final report sections 11-15 and 16
Decision date: 20 August 2026
Context: Pre-populated diligence request RFI-035.</t>
      </text>
    </comment>
    <comment ref="I43" authorId="0" shapeId="0">
      <text>
        <t>Source: Final report sections 11-15 and 16
Decision date: 20 August 2026
Context: Pre-populated diligence request RFI-035.</t>
      </text>
    </comment>
    <comment ref="J43" authorId="0" shapeId="0">
      <text>
        <t>Source: Final report sections 11-15 and 16
Decision date: 20 August 2026
Context: Pre-populated diligence request RFI-035.</t>
      </text>
    </comment>
    <comment ref="K43" authorId="0" shapeId="0">
      <text>
        <t>Source: Final report sections 11-15 and 16
Decision date: 20 August 2026
Context: Pre-populated diligence request RFI-035.</t>
      </text>
    </comment>
    <comment ref="L43" authorId="0" shapeId="0">
      <text>
        <t>Source: Final report sections 11-15 and 16
Decision date: 20 August 2026
Context: Pre-populated diligence request RFI-035.</t>
      </text>
    </comment>
    <comment ref="M43" authorId="0" shapeId="0">
      <text>
        <t>Source: Final report sections 11-15 and 16
Decision date: 20 August 2026
Context: Pre-populated diligence request RFI-035.</t>
      </text>
    </comment>
    <comment ref="O43" authorId="0" shapeId="0">
      <text>
        <t>Source: Final report sections 11-15 and 16
Decision date: 20 August 2026
Context: Pre-populated diligence request RFI-035.</t>
      </text>
    </comment>
    <comment ref="P43" authorId="0" shapeId="0">
      <text>
        <t>Source: Final report sections 11-15 and 16
Decision date: 20 August 2026
Context: Pre-populated diligence request RFI-035.</t>
      </text>
    </comment>
    <comment ref="Q43" authorId="0" shapeId="0">
      <text>
        <t>Source: Final report sections 11-15 and 16
Decision date: 20 August 2026
Context: Pre-populated diligence request RFI-035.</t>
      </text>
    </comment>
    <comment ref="S43" authorId="0" shapeId="0">
      <text>
        <t>Source: Final report sections 11-15 and 16
Decision date: 20 August 2026
Context: Pre-populated diligence request RFI-035.</t>
      </text>
    </comment>
    <comment ref="C44" authorId="0" shapeId="0">
      <text>
        <t>Source: Final report sections 11-15 and 16
Decision date: 20 August 2026
Context: Pre-populated diligence request RFI-036.</t>
      </text>
    </comment>
    <comment ref="D44" authorId="0" shapeId="0">
      <text>
        <t>Source: Final report sections 11-15 and 16
Decision date: 20 August 2026
Context: Pre-populated diligence request RFI-036.</t>
      </text>
    </comment>
    <comment ref="E44" authorId="0" shapeId="0">
      <text>
        <t>Source: Final report sections 11-15 and 16
Decision date: 20 August 2026
Context: Pre-populated diligence request RFI-036.</t>
      </text>
    </comment>
    <comment ref="F44" authorId="0" shapeId="0">
      <text>
        <t>Source: Final report sections 11-15 and 16
Decision date: 20 August 2026
Context: Pre-populated diligence request RFI-036.</t>
      </text>
    </comment>
    <comment ref="G44" authorId="0" shapeId="0">
      <text>
        <t>Source: Final report sections 11-15 and 16
Decision date: 20 August 2026
Context: Pre-populated diligence request RFI-036.</t>
      </text>
    </comment>
    <comment ref="H44" authorId="0" shapeId="0">
      <text>
        <t>Source: Final report sections 11-15 and 16
Decision date: 20 August 2026
Context: Pre-populated diligence request RFI-036.</t>
      </text>
    </comment>
    <comment ref="I44" authorId="0" shapeId="0">
      <text>
        <t>Source: Final report sections 11-15 and 16
Decision date: 20 August 2026
Context: Pre-populated diligence request RFI-036.</t>
      </text>
    </comment>
    <comment ref="J44" authorId="0" shapeId="0">
      <text>
        <t>Source: Final report sections 11-15 and 16
Decision date: 20 August 2026
Context: Pre-populated diligence request RFI-036.</t>
      </text>
    </comment>
    <comment ref="K44" authorId="0" shapeId="0">
      <text>
        <t>Source: Final report sections 11-15 and 16
Decision date: 20 August 2026
Context: Pre-populated diligence request RFI-036.</t>
      </text>
    </comment>
    <comment ref="L44" authorId="0" shapeId="0">
      <text>
        <t>Source: Final report sections 11-15 and 16
Decision date: 20 August 2026
Context: Pre-populated diligence request RFI-036.</t>
      </text>
    </comment>
    <comment ref="M44" authorId="0" shapeId="0">
      <text>
        <t>Source: Final report sections 11-15 and 16
Decision date: 20 August 2026
Context: Pre-populated diligence request RFI-036.</t>
      </text>
    </comment>
    <comment ref="O44" authorId="0" shapeId="0">
      <text>
        <t>Source: Final report sections 11-15 and 16
Decision date: 20 August 2026
Context: Pre-populated diligence request RFI-036.</t>
      </text>
    </comment>
    <comment ref="P44" authorId="0" shapeId="0">
      <text>
        <t>Source: Final report sections 11-15 and 16
Decision date: 20 August 2026
Context: Pre-populated diligence request RFI-036.</t>
      </text>
    </comment>
    <comment ref="Q44" authorId="0" shapeId="0">
      <text>
        <t>Source: Final report sections 11-15 and 16
Decision date: 20 August 2026
Context: Pre-populated diligence request RFI-036.</t>
      </text>
    </comment>
    <comment ref="S44" authorId="0" shapeId="0">
      <text>
        <t>Source: Final report sections 11-15 and 16
Decision date: 20 August 2026
Context: Pre-populated diligence request RFI-036.</t>
      </text>
    </comment>
    <comment ref="C45" authorId="0" shapeId="0">
      <text>
        <t>Source: Final report sections 11-15 and 16
Decision date: 20 August 2026
Context: Pre-populated diligence request RFI-037.</t>
      </text>
    </comment>
    <comment ref="D45" authorId="0" shapeId="0">
      <text>
        <t>Source: Final report sections 11-15 and 16
Decision date: 20 August 2026
Context: Pre-populated diligence request RFI-037.</t>
      </text>
    </comment>
    <comment ref="E45" authorId="0" shapeId="0">
      <text>
        <t>Source: Final report sections 11-15 and 16
Decision date: 20 August 2026
Context: Pre-populated diligence request RFI-037.</t>
      </text>
    </comment>
    <comment ref="F45" authorId="0" shapeId="0">
      <text>
        <t>Source: Final report sections 11-15 and 16
Decision date: 20 August 2026
Context: Pre-populated diligence request RFI-037.</t>
      </text>
    </comment>
    <comment ref="G45" authorId="0" shapeId="0">
      <text>
        <t>Source: Final report sections 11-15 and 16
Decision date: 20 August 2026
Context: Pre-populated diligence request RFI-037.</t>
      </text>
    </comment>
    <comment ref="H45" authorId="0" shapeId="0">
      <text>
        <t>Source: Final report sections 11-15 and 16
Decision date: 20 August 2026
Context: Pre-populated diligence request RFI-037.</t>
      </text>
    </comment>
    <comment ref="I45" authorId="0" shapeId="0">
      <text>
        <t>Source: Final report sections 11-15 and 16
Decision date: 20 August 2026
Context: Pre-populated diligence request RFI-037.</t>
      </text>
    </comment>
    <comment ref="J45" authorId="0" shapeId="0">
      <text>
        <t>Source: Final report sections 11-15 and 16
Decision date: 20 August 2026
Context: Pre-populated diligence request RFI-037.</t>
      </text>
    </comment>
    <comment ref="K45" authorId="0" shapeId="0">
      <text>
        <t>Source: Final report sections 11-15 and 16
Decision date: 20 August 2026
Context: Pre-populated diligence request RFI-037.</t>
      </text>
    </comment>
    <comment ref="L45" authorId="0" shapeId="0">
      <text>
        <t>Source: Final report sections 11-15 and 16
Decision date: 20 August 2026
Context: Pre-populated diligence request RFI-037.</t>
      </text>
    </comment>
    <comment ref="M45" authorId="0" shapeId="0">
      <text>
        <t>Source: Final report sections 11-15 and 16
Decision date: 20 August 2026
Context: Pre-populated diligence request RFI-037.</t>
      </text>
    </comment>
    <comment ref="O45" authorId="0" shapeId="0">
      <text>
        <t>Source: Final report sections 11-15 and 16
Decision date: 20 August 2026
Context: Pre-populated diligence request RFI-037.</t>
      </text>
    </comment>
    <comment ref="P45" authorId="0" shapeId="0">
      <text>
        <t>Source: Final report sections 11-15 and 16
Decision date: 20 August 2026
Context: Pre-populated diligence request RFI-037.</t>
      </text>
    </comment>
    <comment ref="Q45" authorId="0" shapeId="0">
      <text>
        <t>Source: Final report sections 11-15 and 16
Decision date: 20 August 2026
Context: Pre-populated diligence request RFI-037.</t>
      </text>
    </comment>
    <comment ref="S45" authorId="0" shapeId="0">
      <text>
        <t>Source: Final report sections 11-15 and 16
Decision date: 20 August 2026
Context: Pre-populated diligence request RFI-037.</t>
      </text>
    </comment>
    <comment ref="C46" authorId="0" shapeId="0">
      <text>
        <t>Source: Final report sections 11-15 and 16
Decision date: 20 August 2026
Context: Pre-populated diligence request RFI-038.</t>
      </text>
    </comment>
    <comment ref="D46" authorId="0" shapeId="0">
      <text>
        <t>Source: Final report sections 11-15 and 16
Decision date: 20 August 2026
Context: Pre-populated diligence request RFI-038.</t>
      </text>
    </comment>
    <comment ref="E46" authorId="0" shapeId="0">
      <text>
        <t>Source: Final report sections 11-15 and 16
Decision date: 20 August 2026
Context: Pre-populated diligence request RFI-038.</t>
      </text>
    </comment>
    <comment ref="F46" authorId="0" shapeId="0">
      <text>
        <t>Source: Final report sections 11-15 and 16
Decision date: 20 August 2026
Context: Pre-populated diligence request RFI-038.</t>
      </text>
    </comment>
    <comment ref="G46" authorId="0" shapeId="0">
      <text>
        <t>Source: Final report sections 11-15 and 16
Decision date: 20 August 2026
Context: Pre-populated diligence request RFI-038.</t>
      </text>
    </comment>
    <comment ref="H46" authorId="0" shapeId="0">
      <text>
        <t>Source: Final report sections 11-15 and 16
Decision date: 20 August 2026
Context: Pre-populated diligence request RFI-038.</t>
      </text>
    </comment>
    <comment ref="I46" authorId="0" shapeId="0">
      <text>
        <t>Source: Final report sections 11-15 and 16
Decision date: 20 August 2026
Context: Pre-populated diligence request RFI-038.</t>
      </text>
    </comment>
    <comment ref="J46" authorId="0" shapeId="0">
      <text>
        <t>Source: Final report sections 11-15 and 16
Decision date: 20 August 2026
Context: Pre-populated diligence request RFI-038.</t>
      </text>
    </comment>
    <comment ref="K46" authorId="0" shapeId="0">
      <text>
        <t>Source: Final report sections 11-15 and 16
Decision date: 20 August 2026
Context: Pre-populated diligence request RFI-038.</t>
      </text>
    </comment>
    <comment ref="L46" authorId="0" shapeId="0">
      <text>
        <t>Source: Final report sections 11-15 and 16
Decision date: 20 August 2026
Context: Pre-populated diligence request RFI-038.</t>
      </text>
    </comment>
    <comment ref="M46" authorId="0" shapeId="0">
      <text>
        <t>Source: Final report sections 11-15 and 16
Decision date: 20 August 2026
Context: Pre-populated diligence request RFI-038.</t>
      </text>
    </comment>
    <comment ref="O46" authorId="0" shapeId="0">
      <text>
        <t>Source: Final report sections 11-15 and 16
Decision date: 20 August 2026
Context: Pre-populated diligence request RFI-038.</t>
      </text>
    </comment>
    <comment ref="P46" authorId="0" shapeId="0">
      <text>
        <t>Source: Final report sections 11-15 and 16
Decision date: 20 August 2026
Context: Pre-populated diligence request RFI-038.</t>
      </text>
    </comment>
    <comment ref="Q46" authorId="0" shapeId="0">
      <text>
        <t>Source: Final report sections 11-15 and 16
Decision date: 20 August 2026
Context: Pre-populated diligence request RFI-038.</t>
      </text>
    </comment>
    <comment ref="S46" authorId="0" shapeId="0">
      <text>
        <t>Source: Final report sections 11-15 and 16
Decision date: 20 August 2026
Context: Pre-populated diligence request RFI-038.</t>
      </text>
    </comment>
    <comment ref="C47" authorId="0" shapeId="0">
      <text>
        <t>Source: Final report sections 11-15 and 16
Decision date: 20 August 2026
Context: Pre-populated diligence request RFI-039.</t>
      </text>
    </comment>
    <comment ref="D47" authorId="0" shapeId="0">
      <text>
        <t>Source: Final report sections 11-15 and 16
Decision date: 20 August 2026
Context: Pre-populated diligence request RFI-039.</t>
      </text>
    </comment>
    <comment ref="E47" authorId="0" shapeId="0">
      <text>
        <t>Source: Final report sections 11-15 and 16
Decision date: 20 August 2026
Context: Pre-populated diligence request RFI-039.</t>
      </text>
    </comment>
    <comment ref="F47" authorId="0" shapeId="0">
      <text>
        <t>Source: Final report sections 11-15 and 16
Decision date: 20 August 2026
Context: Pre-populated diligence request RFI-039.</t>
      </text>
    </comment>
    <comment ref="G47" authorId="0" shapeId="0">
      <text>
        <t>Source: Final report sections 11-15 and 16
Decision date: 20 August 2026
Context: Pre-populated diligence request RFI-039.</t>
      </text>
    </comment>
    <comment ref="H47" authorId="0" shapeId="0">
      <text>
        <t>Source: Final report sections 11-15 and 16
Decision date: 20 August 2026
Context: Pre-populated diligence request RFI-039.</t>
      </text>
    </comment>
    <comment ref="I47" authorId="0" shapeId="0">
      <text>
        <t>Source: Final report sections 11-15 and 16
Decision date: 20 August 2026
Context: Pre-populated diligence request RFI-039.</t>
      </text>
    </comment>
    <comment ref="J47" authorId="0" shapeId="0">
      <text>
        <t>Source: Final report sections 11-15 and 16
Decision date: 20 August 2026
Context: Pre-populated diligence request RFI-039.</t>
      </text>
    </comment>
    <comment ref="K47" authorId="0" shapeId="0">
      <text>
        <t>Source: Final report sections 11-15 and 16
Decision date: 20 August 2026
Context: Pre-populated diligence request RFI-039.</t>
      </text>
    </comment>
    <comment ref="L47" authorId="0" shapeId="0">
      <text>
        <t>Source: Final report sections 11-15 and 16
Decision date: 20 August 2026
Context: Pre-populated diligence request RFI-039.</t>
      </text>
    </comment>
    <comment ref="M47" authorId="0" shapeId="0">
      <text>
        <t>Source: Final report sections 11-15 and 16
Decision date: 20 August 2026
Context: Pre-populated diligence request RFI-039.</t>
      </text>
    </comment>
    <comment ref="O47" authorId="0" shapeId="0">
      <text>
        <t>Source: Final report sections 11-15 and 16
Decision date: 20 August 2026
Context: Pre-populated diligence request RFI-039.</t>
      </text>
    </comment>
    <comment ref="P47" authorId="0" shapeId="0">
      <text>
        <t>Source: Final report sections 11-15 and 16
Decision date: 20 August 2026
Context: Pre-populated diligence request RFI-039.</t>
      </text>
    </comment>
    <comment ref="Q47" authorId="0" shapeId="0">
      <text>
        <t>Source: Final report sections 11-15 and 16
Decision date: 20 August 2026
Context: Pre-populated diligence request RFI-039.</t>
      </text>
    </comment>
    <comment ref="S47" authorId="0" shapeId="0">
      <text>
        <t>Source: Final report sections 11-15 and 16
Decision date: 20 August 2026
Context: Pre-populated diligence request RFI-039.</t>
      </text>
    </comment>
    <comment ref="C48" authorId="0" shapeId="0">
      <text>
        <t>Source: Final report sections 11-15 and 16
Decision date: 20 August 2026
Context: Pre-populated diligence request RFI-040.</t>
      </text>
    </comment>
    <comment ref="D48" authorId="0" shapeId="0">
      <text>
        <t>Source: Final report sections 11-15 and 16
Decision date: 20 August 2026
Context: Pre-populated diligence request RFI-040.</t>
      </text>
    </comment>
    <comment ref="E48" authorId="0" shapeId="0">
      <text>
        <t>Source: Final report sections 11-15 and 16
Decision date: 20 August 2026
Context: Pre-populated diligence request RFI-040.</t>
      </text>
    </comment>
    <comment ref="F48" authorId="0" shapeId="0">
      <text>
        <t>Source: Final report sections 11-15 and 16
Decision date: 20 August 2026
Context: Pre-populated diligence request RFI-040.</t>
      </text>
    </comment>
    <comment ref="G48" authorId="0" shapeId="0">
      <text>
        <t>Source: Final report sections 11-15 and 16
Decision date: 20 August 2026
Context: Pre-populated diligence request RFI-040.</t>
      </text>
    </comment>
    <comment ref="H48" authorId="0" shapeId="0">
      <text>
        <t>Source: Final report sections 11-15 and 16
Decision date: 20 August 2026
Context: Pre-populated diligence request RFI-040.</t>
      </text>
    </comment>
    <comment ref="I48" authorId="0" shapeId="0">
      <text>
        <t>Source: Final report sections 11-15 and 16
Decision date: 20 August 2026
Context: Pre-populated diligence request RFI-040.</t>
      </text>
    </comment>
    <comment ref="J48" authorId="0" shapeId="0">
      <text>
        <t>Source: Final report sections 11-15 and 16
Decision date: 20 August 2026
Context: Pre-populated diligence request RFI-040.</t>
      </text>
    </comment>
    <comment ref="K48" authorId="0" shapeId="0">
      <text>
        <t>Source: Final report sections 11-15 and 16
Decision date: 20 August 2026
Context: Pre-populated diligence request RFI-040.</t>
      </text>
    </comment>
    <comment ref="L48" authorId="0" shapeId="0">
      <text>
        <t>Source: Final report sections 11-15 and 16
Decision date: 20 August 2026
Context: Pre-populated diligence request RFI-040.</t>
      </text>
    </comment>
    <comment ref="M48" authorId="0" shapeId="0">
      <text>
        <t>Source: Final report sections 11-15 and 16
Decision date: 20 August 2026
Context: Pre-populated diligence request RFI-040.</t>
      </text>
    </comment>
    <comment ref="O48" authorId="0" shapeId="0">
      <text>
        <t>Source: Final report sections 11-15 and 16
Decision date: 20 August 2026
Context: Pre-populated diligence request RFI-040.</t>
      </text>
    </comment>
    <comment ref="P48" authorId="0" shapeId="0">
      <text>
        <t>Source: Final report sections 11-15 and 16
Decision date: 20 August 2026
Context: Pre-populated diligence request RFI-040.</t>
      </text>
    </comment>
    <comment ref="Q48" authorId="0" shapeId="0">
      <text>
        <t>Source: Final report sections 11-15 and 16
Decision date: 20 August 2026
Context: Pre-populated diligence request RFI-040.</t>
      </text>
    </comment>
    <comment ref="S48" authorId="0" shapeId="0">
      <text>
        <t>Source: Final report sections 11-15 and 16
Decision date: 20 August 2026
Context: Pre-populated diligence request RFI-040.</t>
      </text>
    </comment>
    <comment ref="C49" authorId="0" shapeId="0">
      <text>
        <t>Source: Final report sections 11-15 and 16
Decision date: 20 August 2026
Context: Pre-populated diligence request RFI-041.</t>
      </text>
    </comment>
    <comment ref="D49" authorId="0" shapeId="0">
      <text>
        <t>Source: Final report sections 11-15 and 16
Decision date: 20 August 2026
Context: Pre-populated diligence request RFI-041.</t>
      </text>
    </comment>
    <comment ref="E49" authorId="0" shapeId="0">
      <text>
        <t>Source: Final report sections 11-15 and 16
Decision date: 20 August 2026
Context: Pre-populated diligence request RFI-041.</t>
      </text>
    </comment>
    <comment ref="F49" authorId="0" shapeId="0">
      <text>
        <t>Source: Final report sections 11-15 and 16
Decision date: 20 August 2026
Context: Pre-populated diligence request RFI-041.</t>
      </text>
    </comment>
    <comment ref="G49" authorId="0" shapeId="0">
      <text>
        <t>Source: Final report sections 11-15 and 16
Decision date: 20 August 2026
Context: Pre-populated diligence request RFI-041.</t>
      </text>
    </comment>
    <comment ref="H49" authorId="0" shapeId="0">
      <text>
        <t>Source: Final report sections 11-15 and 16
Decision date: 20 August 2026
Context: Pre-populated diligence request RFI-041.</t>
      </text>
    </comment>
    <comment ref="I49" authorId="0" shapeId="0">
      <text>
        <t>Source: Final report sections 11-15 and 16
Decision date: 20 August 2026
Context: Pre-populated diligence request RFI-041.</t>
      </text>
    </comment>
    <comment ref="J49" authorId="0" shapeId="0">
      <text>
        <t>Source: Final report sections 11-15 and 16
Decision date: 20 August 2026
Context: Pre-populated diligence request RFI-041.</t>
      </text>
    </comment>
    <comment ref="K49" authorId="0" shapeId="0">
      <text>
        <t>Source: Final report sections 11-15 and 16
Decision date: 20 August 2026
Context: Pre-populated diligence request RFI-041.</t>
      </text>
    </comment>
    <comment ref="L49" authorId="0" shapeId="0">
      <text>
        <t>Source: Final report sections 11-15 and 16
Decision date: 20 August 2026
Context: Pre-populated diligence request RFI-041.</t>
      </text>
    </comment>
    <comment ref="M49" authorId="0" shapeId="0">
      <text>
        <t>Source: Final report sections 11-15 and 16
Decision date: 20 August 2026
Context: Pre-populated diligence request RFI-041.</t>
      </text>
    </comment>
    <comment ref="O49" authorId="0" shapeId="0">
      <text>
        <t>Source: Final report sections 11-15 and 16
Decision date: 20 August 2026
Context: Pre-populated diligence request RFI-041.</t>
      </text>
    </comment>
    <comment ref="P49" authorId="0" shapeId="0">
      <text>
        <t>Source: Final report sections 11-15 and 16
Decision date: 20 August 2026
Context: Pre-populated diligence request RFI-041.</t>
      </text>
    </comment>
    <comment ref="Q49" authorId="0" shapeId="0">
      <text>
        <t>Source: Final report sections 11-15 and 16
Decision date: 20 August 2026
Context: Pre-populated diligence request RFI-041.</t>
      </text>
    </comment>
    <comment ref="S49" authorId="0" shapeId="0">
      <text>
        <t>Source: Final report sections 11-15 and 16
Decision date: 20 August 2026
Context: Pre-populated diligence request RFI-041.</t>
      </text>
    </comment>
    <comment ref="C50" authorId="0" shapeId="0">
      <text>
        <t>Source: Final report sections 11-15 and 16
Decision date: 20 August 2026
Context: Pre-populated diligence request RFI-042.</t>
      </text>
    </comment>
    <comment ref="D50" authorId="0" shapeId="0">
      <text>
        <t>Source: Final report sections 11-15 and 16
Decision date: 20 August 2026
Context: Pre-populated diligence request RFI-042.</t>
      </text>
    </comment>
    <comment ref="E50" authorId="0" shapeId="0">
      <text>
        <t>Source: Final report sections 11-15 and 16
Decision date: 20 August 2026
Context: Pre-populated diligence request RFI-042.</t>
      </text>
    </comment>
    <comment ref="F50" authorId="0" shapeId="0">
      <text>
        <t>Source: Final report sections 11-15 and 16
Decision date: 20 August 2026
Context: Pre-populated diligence request RFI-042.</t>
      </text>
    </comment>
    <comment ref="G50" authorId="0" shapeId="0">
      <text>
        <t>Source: Final report sections 11-15 and 16
Decision date: 20 August 2026
Context: Pre-populated diligence request RFI-042.</t>
      </text>
    </comment>
    <comment ref="H50" authorId="0" shapeId="0">
      <text>
        <t>Source: Final report sections 11-15 and 16
Decision date: 20 August 2026
Context: Pre-populated diligence request RFI-042.</t>
      </text>
    </comment>
    <comment ref="I50" authorId="0" shapeId="0">
      <text>
        <t>Source: Final report sections 11-15 and 16
Decision date: 20 August 2026
Context: Pre-populated diligence request RFI-042.</t>
      </text>
    </comment>
    <comment ref="J50" authorId="0" shapeId="0">
      <text>
        <t>Source: Final report sections 11-15 and 16
Decision date: 20 August 2026
Context: Pre-populated diligence request RFI-042.</t>
      </text>
    </comment>
    <comment ref="K50" authorId="0" shapeId="0">
      <text>
        <t>Source: Final report sections 11-15 and 16
Decision date: 20 August 2026
Context: Pre-populated diligence request RFI-042.</t>
      </text>
    </comment>
    <comment ref="L50" authorId="0" shapeId="0">
      <text>
        <t>Source: Final report sections 11-15 and 16
Decision date: 20 August 2026
Context: Pre-populated diligence request RFI-042.</t>
      </text>
    </comment>
    <comment ref="M50" authorId="0" shapeId="0">
      <text>
        <t>Source: Final report sections 11-15 and 16
Decision date: 20 August 2026
Context: Pre-populated diligence request RFI-042.</t>
      </text>
    </comment>
    <comment ref="O50" authorId="0" shapeId="0">
      <text>
        <t>Source: Final report sections 11-15 and 16
Decision date: 20 August 2026
Context: Pre-populated diligence request RFI-042.</t>
      </text>
    </comment>
    <comment ref="P50" authorId="0" shapeId="0">
      <text>
        <t>Source: Final report sections 11-15 and 16
Decision date: 20 August 2026
Context: Pre-populated diligence request RFI-042.</t>
      </text>
    </comment>
    <comment ref="Q50" authorId="0" shapeId="0">
      <text>
        <t>Source: Final report sections 11-15 and 16
Decision date: 20 August 2026
Context: Pre-populated diligence request RFI-042.</t>
      </text>
    </comment>
    <comment ref="S50" authorId="0" shapeId="0">
      <text>
        <t>Source: Final report sections 11-15 and 16
Decision date: 20 August 2026
Context: Pre-populated diligence request RFI-042.</t>
      </text>
    </comment>
    <comment ref="C51" authorId="0" shapeId="0">
      <text>
        <t>Source: Final report sections 11-15 and 16
Decision date: 20 August 2026
Context: Pre-populated diligence request RFI-043.</t>
      </text>
    </comment>
    <comment ref="D51" authorId="0" shapeId="0">
      <text>
        <t>Source: Final report sections 11-15 and 16
Decision date: 20 August 2026
Context: Pre-populated diligence request RFI-043.</t>
      </text>
    </comment>
    <comment ref="E51" authorId="0" shapeId="0">
      <text>
        <t>Source: Final report sections 11-15 and 16
Decision date: 20 August 2026
Context: Pre-populated diligence request RFI-043.</t>
      </text>
    </comment>
    <comment ref="F51" authorId="0" shapeId="0">
      <text>
        <t>Source: Final report sections 11-15 and 16
Decision date: 20 August 2026
Context: Pre-populated diligence request RFI-043.</t>
      </text>
    </comment>
    <comment ref="G51" authorId="0" shapeId="0">
      <text>
        <t>Source: Final report sections 11-15 and 16
Decision date: 20 August 2026
Context: Pre-populated diligence request RFI-043.</t>
      </text>
    </comment>
    <comment ref="H51" authorId="0" shapeId="0">
      <text>
        <t>Source: Final report sections 11-15 and 16
Decision date: 20 August 2026
Context: Pre-populated diligence request RFI-043.</t>
      </text>
    </comment>
    <comment ref="I51" authorId="0" shapeId="0">
      <text>
        <t>Source: Final report sections 11-15 and 16
Decision date: 20 August 2026
Context: Pre-populated diligence request RFI-043.</t>
      </text>
    </comment>
    <comment ref="J51" authorId="0" shapeId="0">
      <text>
        <t>Source: Final report sections 11-15 and 16
Decision date: 20 August 2026
Context: Pre-populated diligence request RFI-043.</t>
      </text>
    </comment>
    <comment ref="K51" authorId="0" shapeId="0">
      <text>
        <t>Source: Final report sections 11-15 and 16
Decision date: 20 August 2026
Context: Pre-populated diligence request RFI-043.</t>
      </text>
    </comment>
    <comment ref="L51" authorId="0" shapeId="0">
      <text>
        <t>Source: Final report sections 11-15 and 16
Decision date: 20 August 2026
Context: Pre-populated diligence request RFI-043.</t>
      </text>
    </comment>
    <comment ref="M51" authorId="0" shapeId="0">
      <text>
        <t>Source: Final report sections 11-15 and 16
Decision date: 20 August 2026
Context: Pre-populated diligence request RFI-043.</t>
      </text>
    </comment>
    <comment ref="O51" authorId="0" shapeId="0">
      <text>
        <t>Source: Final report sections 11-15 and 16
Decision date: 20 August 2026
Context: Pre-populated diligence request RFI-043.</t>
      </text>
    </comment>
    <comment ref="P51" authorId="0" shapeId="0">
      <text>
        <t>Source: Final report sections 11-15 and 16
Decision date: 20 August 2026
Context: Pre-populated diligence request RFI-043.</t>
      </text>
    </comment>
    <comment ref="Q51" authorId="0" shapeId="0">
      <text>
        <t>Source: Final report sections 11-15 and 16
Decision date: 20 August 2026
Context: Pre-populated diligence request RFI-043.</t>
      </text>
    </comment>
    <comment ref="S51" authorId="0" shapeId="0">
      <text>
        <t>Source: Final report sections 11-15 and 16
Decision date: 20 August 2026
Context: Pre-populated diligence request RFI-043.</t>
      </text>
    </comment>
    <comment ref="C52" authorId="0" shapeId="0">
      <text>
        <t>Source: Final report sections 11-15 and 16
Decision date: 20 August 2026
Context: Pre-populated diligence request RFI-044.</t>
      </text>
    </comment>
    <comment ref="D52" authorId="0" shapeId="0">
      <text>
        <t>Source: Final report sections 11-15 and 16
Decision date: 20 August 2026
Context: Pre-populated diligence request RFI-044.</t>
      </text>
    </comment>
    <comment ref="E52" authorId="0" shapeId="0">
      <text>
        <t>Source: Final report sections 11-15 and 16
Decision date: 20 August 2026
Context: Pre-populated diligence request RFI-044.</t>
      </text>
    </comment>
    <comment ref="F52" authorId="0" shapeId="0">
      <text>
        <t>Source: Final report sections 11-15 and 16
Decision date: 20 August 2026
Context: Pre-populated diligence request RFI-044.</t>
      </text>
    </comment>
    <comment ref="G52" authorId="0" shapeId="0">
      <text>
        <t>Source: Final report sections 11-15 and 16
Decision date: 20 August 2026
Context: Pre-populated diligence request RFI-044.</t>
      </text>
    </comment>
    <comment ref="H52" authorId="0" shapeId="0">
      <text>
        <t>Source: Final report sections 11-15 and 16
Decision date: 20 August 2026
Context: Pre-populated diligence request RFI-044.</t>
      </text>
    </comment>
    <comment ref="I52" authorId="0" shapeId="0">
      <text>
        <t>Source: Final report sections 11-15 and 16
Decision date: 20 August 2026
Context: Pre-populated diligence request RFI-044.</t>
      </text>
    </comment>
    <comment ref="J52" authorId="0" shapeId="0">
      <text>
        <t>Source: Final report sections 11-15 and 16
Decision date: 20 August 2026
Context: Pre-populated diligence request RFI-044.</t>
      </text>
    </comment>
    <comment ref="K52" authorId="0" shapeId="0">
      <text>
        <t>Source: Final report sections 11-15 and 16
Decision date: 20 August 2026
Context: Pre-populated diligence request RFI-044.</t>
      </text>
    </comment>
    <comment ref="L52" authorId="0" shapeId="0">
      <text>
        <t>Source: Final report sections 11-15 and 16
Decision date: 20 August 2026
Context: Pre-populated diligence request RFI-044.</t>
      </text>
    </comment>
    <comment ref="M52" authorId="0" shapeId="0">
      <text>
        <t>Source: Final report sections 11-15 and 16
Decision date: 20 August 2026
Context: Pre-populated diligence request RFI-044.</t>
      </text>
    </comment>
    <comment ref="O52" authorId="0" shapeId="0">
      <text>
        <t>Source: Final report sections 11-15 and 16
Decision date: 20 August 2026
Context: Pre-populated diligence request RFI-044.</t>
      </text>
    </comment>
    <comment ref="P52" authorId="0" shapeId="0">
      <text>
        <t>Source: Final report sections 11-15 and 16
Decision date: 20 August 2026
Context: Pre-populated diligence request RFI-044.</t>
      </text>
    </comment>
    <comment ref="Q52" authorId="0" shapeId="0">
      <text>
        <t>Source: Final report sections 11-15 and 16
Decision date: 20 August 2026
Context: Pre-populated diligence request RFI-044.</t>
      </text>
    </comment>
    <comment ref="S52" authorId="0" shapeId="0">
      <text>
        <t>Source: Final report sections 11-15 and 16
Decision date: 20 August 2026
Context: Pre-populated diligence request RFI-044.</t>
      </text>
    </comment>
    <comment ref="C53" authorId="0" shapeId="0">
      <text>
        <t>Source: Final report sections 11-15 and 16
Decision date: 20 August 2026
Context: Pre-populated diligence request RFI-045.</t>
      </text>
    </comment>
    <comment ref="D53" authorId="0" shapeId="0">
      <text>
        <t>Source: Final report sections 11-15 and 16
Decision date: 20 August 2026
Context: Pre-populated diligence request RFI-045.</t>
      </text>
    </comment>
    <comment ref="E53" authorId="0" shapeId="0">
      <text>
        <t>Source: Final report sections 11-15 and 16
Decision date: 20 August 2026
Context: Pre-populated diligence request RFI-045.</t>
      </text>
    </comment>
    <comment ref="F53" authorId="0" shapeId="0">
      <text>
        <t>Source: Final report sections 11-15 and 16
Decision date: 20 August 2026
Context: Pre-populated diligence request RFI-045.</t>
      </text>
    </comment>
    <comment ref="G53" authorId="0" shapeId="0">
      <text>
        <t>Source: Final report sections 11-15 and 16
Decision date: 20 August 2026
Context: Pre-populated diligence request RFI-045.</t>
      </text>
    </comment>
    <comment ref="H53" authorId="0" shapeId="0">
      <text>
        <t>Source: Final report sections 11-15 and 16
Decision date: 20 August 2026
Context: Pre-populated diligence request RFI-045.</t>
      </text>
    </comment>
    <comment ref="I53" authorId="0" shapeId="0">
      <text>
        <t>Source: Final report sections 11-15 and 16
Decision date: 20 August 2026
Context: Pre-populated diligence request RFI-045.</t>
      </text>
    </comment>
    <comment ref="J53" authorId="0" shapeId="0">
      <text>
        <t>Source: Final report sections 11-15 and 16
Decision date: 20 August 2026
Context: Pre-populated diligence request RFI-045.</t>
      </text>
    </comment>
    <comment ref="K53" authorId="0" shapeId="0">
      <text>
        <t>Source: Final report sections 11-15 and 16
Decision date: 20 August 2026
Context: Pre-populated diligence request RFI-045.</t>
      </text>
    </comment>
    <comment ref="L53" authorId="0" shapeId="0">
      <text>
        <t>Source: Final report sections 11-15 and 16
Decision date: 20 August 2026
Context: Pre-populated diligence request RFI-045.</t>
      </text>
    </comment>
    <comment ref="M53" authorId="0" shapeId="0">
      <text>
        <t>Source: Final report sections 11-15 and 16
Decision date: 20 August 2026
Context: Pre-populated diligence request RFI-045.</t>
      </text>
    </comment>
    <comment ref="O53" authorId="0" shapeId="0">
      <text>
        <t>Source: Final report sections 11-15 and 16
Decision date: 20 August 2026
Context: Pre-populated diligence request RFI-045.</t>
      </text>
    </comment>
    <comment ref="P53" authorId="0" shapeId="0">
      <text>
        <t>Source: Final report sections 11-15 and 16
Decision date: 20 August 2026
Context: Pre-populated diligence request RFI-045.</t>
      </text>
    </comment>
    <comment ref="Q53" authorId="0" shapeId="0">
      <text>
        <t>Source: Final report sections 11-15 and 16
Decision date: 20 August 2026
Context: Pre-populated diligence request RFI-045.</t>
      </text>
    </comment>
    <comment ref="S53" authorId="0" shapeId="0">
      <text>
        <t>Source: Final report sections 11-15 and 16
Decision date: 20 August 2026
Context: Pre-populated diligence request RFI-045.</t>
      </text>
    </comment>
    <comment ref="C54" authorId="0" shapeId="0">
      <text>
        <t>Source: Final report sections 11-15 and 16
Decision date: 20 August 2026
Context: Pre-populated diligence request RFI-046.</t>
      </text>
    </comment>
    <comment ref="D54" authorId="0" shapeId="0">
      <text>
        <t>Source: Final report sections 11-15 and 16
Decision date: 20 August 2026
Context: Pre-populated diligence request RFI-046.</t>
      </text>
    </comment>
    <comment ref="E54" authorId="0" shapeId="0">
      <text>
        <t>Source: Final report sections 11-15 and 16
Decision date: 20 August 2026
Context: Pre-populated diligence request RFI-046.</t>
      </text>
    </comment>
    <comment ref="F54" authorId="0" shapeId="0">
      <text>
        <t>Source: Final report sections 11-15 and 16
Decision date: 20 August 2026
Context: Pre-populated diligence request RFI-046.</t>
      </text>
    </comment>
    <comment ref="G54" authorId="0" shapeId="0">
      <text>
        <t>Source: Final report sections 11-15 and 16
Decision date: 20 August 2026
Context: Pre-populated diligence request RFI-046.</t>
      </text>
    </comment>
    <comment ref="H54" authorId="0" shapeId="0">
      <text>
        <t>Source: Final report sections 11-15 and 16
Decision date: 20 August 2026
Context: Pre-populated diligence request RFI-046.</t>
      </text>
    </comment>
    <comment ref="I54" authorId="0" shapeId="0">
      <text>
        <t>Source: Final report sections 11-15 and 16
Decision date: 20 August 2026
Context: Pre-populated diligence request RFI-046.</t>
      </text>
    </comment>
    <comment ref="J54" authorId="0" shapeId="0">
      <text>
        <t>Source: Final report sections 11-15 and 16
Decision date: 20 August 2026
Context: Pre-populated diligence request RFI-046.</t>
      </text>
    </comment>
    <comment ref="K54" authorId="0" shapeId="0">
      <text>
        <t>Source: Final report sections 11-15 and 16
Decision date: 20 August 2026
Context: Pre-populated diligence request RFI-046.</t>
      </text>
    </comment>
    <comment ref="L54" authorId="0" shapeId="0">
      <text>
        <t>Source: Final report sections 11-15 and 16
Decision date: 20 August 2026
Context: Pre-populated diligence request RFI-046.</t>
      </text>
    </comment>
    <comment ref="M54" authorId="0" shapeId="0">
      <text>
        <t>Source: Final report sections 11-15 and 16
Decision date: 20 August 2026
Context: Pre-populated diligence request RFI-046.</t>
      </text>
    </comment>
    <comment ref="O54" authorId="0" shapeId="0">
      <text>
        <t>Source: Final report sections 11-15 and 16
Decision date: 20 August 2026
Context: Pre-populated diligence request RFI-046.</t>
      </text>
    </comment>
    <comment ref="P54" authorId="0" shapeId="0">
      <text>
        <t>Source: Final report sections 11-15 and 16
Decision date: 20 August 2026
Context: Pre-populated diligence request RFI-046.</t>
      </text>
    </comment>
    <comment ref="Q54" authorId="0" shapeId="0">
      <text>
        <t>Source: Final report sections 11-15 and 16
Decision date: 20 August 2026
Context: Pre-populated diligence request RFI-046.</t>
      </text>
    </comment>
    <comment ref="S54" authorId="0" shapeId="0">
      <text>
        <t>Source: Final report sections 11-15 and 16
Decision date: 20 August 2026
Context: Pre-populated diligence request RFI-046.</t>
      </text>
    </comment>
    <comment ref="C55" authorId="0" shapeId="0">
      <text>
        <t>Source: Final report sections 11-15 and 16
Decision date: 20 August 2026
Context: Pre-populated diligence request RFI-047.</t>
      </text>
    </comment>
    <comment ref="D55" authorId="0" shapeId="0">
      <text>
        <t>Source: Final report sections 11-15 and 16
Decision date: 20 August 2026
Context: Pre-populated diligence request RFI-047.</t>
      </text>
    </comment>
    <comment ref="E55" authorId="0" shapeId="0">
      <text>
        <t>Source: Final report sections 11-15 and 16
Decision date: 20 August 2026
Context: Pre-populated diligence request RFI-047.</t>
      </text>
    </comment>
    <comment ref="F55" authorId="0" shapeId="0">
      <text>
        <t>Source: Final report sections 11-15 and 16
Decision date: 20 August 2026
Context: Pre-populated diligence request RFI-047.</t>
      </text>
    </comment>
    <comment ref="G55" authorId="0" shapeId="0">
      <text>
        <t>Source: Final report sections 11-15 and 16
Decision date: 20 August 2026
Context: Pre-populated diligence request RFI-047.</t>
      </text>
    </comment>
    <comment ref="H55" authorId="0" shapeId="0">
      <text>
        <t>Source: Final report sections 11-15 and 16
Decision date: 20 August 2026
Context: Pre-populated diligence request RFI-047.</t>
      </text>
    </comment>
    <comment ref="I55" authorId="0" shapeId="0">
      <text>
        <t>Source: Final report sections 11-15 and 16
Decision date: 20 August 2026
Context: Pre-populated diligence request RFI-047.</t>
      </text>
    </comment>
    <comment ref="J55" authorId="0" shapeId="0">
      <text>
        <t>Source: Final report sections 11-15 and 16
Decision date: 20 August 2026
Context: Pre-populated diligence request RFI-047.</t>
      </text>
    </comment>
    <comment ref="K55" authorId="0" shapeId="0">
      <text>
        <t>Source: Final report sections 11-15 and 16
Decision date: 20 August 2026
Context: Pre-populated diligence request RFI-047.</t>
      </text>
    </comment>
    <comment ref="L55" authorId="0" shapeId="0">
      <text>
        <t>Source: Final report sections 11-15 and 16
Decision date: 20 August 2026
Context: Pre-populated diligence request RFI-047.</t>
      </text>
    </comment>
    <comment ref="M55" authorId="0" shapeId="0">
      <text>
        <t>Source: Final report sections 11-15 and 16
Decision date: 20 August 2026
Context: Pre-populated diligence request RFI-047.</t>
      </text>
    </comment>
    <comment ref="O55" authorId="0" shapeId="0">
      <text>
        <t>Source: Final report sections 11-15 and 16
Decision date: 20 August 2026
Context: Pre-populated diligence request RFI-047.</t>
      </text>
    </comment>
    <comment ref="P55" authorId="0" shapeId="0">
      <text>
        <t>Source: Final report sections 11-15 and 16
Decision date: 20 August 2026
Context: Pre-populated diligence request RFI-047.</t>
      </text>
    </comment>
    <comment ref="Q55" authorId="0" shapeId="0">
      <text>
        <t>Source: Final report sections 11-15 and 16
Decision date: 20 August 2026
Context: Pre-populated diligence request RFI-047.</t>
      </text>
    </comment>
    <comment ref="S55" authorId="0" shapeId="0">
      <text>
        <t>Source: Final report sections 11-15 and 16
Decision date: 20 August 2026
Context: Pre-populated diligence request RFI-047.</t>
      </text>
    </comment>
    <comment ref="C56" authorId="0" shapeId="0">
      <text>
        <t>Source: Final report sections 11-15 and 16
Decision date: 20 August 2026
Context: Pre-populated diligence request RFI-048.</t>
      </text>
    </comment>
    <comment ref="D56" authorId="0" shapeId="0">
      <text>
        <t>Source: Final report sections 11-15 and 16
Decision date: 20 August 2026
Context: Pre-populated diligence request RFI-048.</t>
      </text>
    </comment>
    <comment ref="E56" authorId="0" shapeId="0">
      <text>
        <t>Source: Final report sections 11-15 and 16
Decision date: 20 August 2026
Context: Pre-populated diligence request RFI-048.</t>
      </text>
    </comment>
    <comment ref="F56" authorId="0" shapeId="0">
      <text>
        <t>Source: Final report sections 11-15 and 16
Decision date: 20 August 2026
Context: Pre-populated diligence request RFI-048.</t>
      </text>
    </comment>
    <comment ref="G56" authorId="0" shapeId="0">
      <text>
        <t>Source: Final report sections 11-15 and 16
Decision date: 20 August 2026
Context: Pre-populated diligence request RFI-048.</t>
      </text>
    </comment>
    <comment ref="H56" authorId="0" shapeId="0">
      <text>
        <t>Source: Final report sections 11-15 and 16
Decision date: 20 August 2026
Context: Pre-populated diligence request RFI-048.</t>
      </text>
    </comment>
    <comment ref="I56" authorId="0" shapeId="0">
      <text>
        <t>Source: Final report sections 11-15 and 16
Decision date: 20 August 2026
Context: Pre-populated diligence request RFI-048.</t>
      </text>
    </comment>
    <comment ref="J56" authorId="0" shapeId="0">
      <text>
        <t>Source: Final report sections 11-15 and 16
Decision date: 20 August 2026
Context: Pre-populated diligence request RFI-048.</t>
      </text>
    </comment>
    <comment ref="K56" authorId="0" shapeId="0">
      <text>
        <t>Source: Final report sections 11-15 and 16
Decision date: 20 August 2026
Context: Pre-populated diligence request RFI-048.</t>
      </text>
    </comment>
    <comment ref="L56" authorId="0" shapeId="0">
      <text>
        <t>Source: Final report sections 11-15 and 16
Decision date: 20 August 2026
Context: Pre-populated diligence request RFI-048.</t>
      </text>
    </comment>
    <comment ref="M56" authorId="0" shapeId="0">
      <text>
        <t>Source: Final report sections 11-15 and 16
Decision date: 20 August 2026
Context: Pre-populated diligence request RFI-048.</t>
      </text>
    </comment>
    <comment ref="O56" authorId="0" shapeId="0">
      <text>
        <t>Source: Final report sections 11-15 and 16
Decision date: 20 August 2026
Context: Pre-populated diligence request RFI-048.</t>
      </text>
    </comment>
    <comment ref="P56" authorId="0" shapeId="0">
      <text>
        <t>Source: Final report sections 11-15 and 16
Decision date: 20 August 2026
Context: Pre-populated diligence request RFI-048.</t>
      </text>
    </comment>
    <comment ref="Q56" authorId="0" shapeId="0">
      <text>
        <t>Source: Final report sections 11-15 and 16
Decision date: 20 August 2026
Context: Pre-populated diligence request RFI-048.</t>
      </text>
    </comment>
    <comment ref="S56" authorId="0" shapeId="0">
      <text>
        <t>Source: Final report sections 11-15 and 16
Decision date: 20 August 2026
Context: Pre-populated diligence request RFI-048.</t>
      </text>
    </comment>
    <comment ref="C57" authorId="0" shapeId="0">
      <text>
        <t>Source: Final report sections 11-15 and 16
Decision date: 20 August 2026
Context: Pre-populated diligence request RFI-049.</t>
      </text>
    </comment>
    <comment ref="D57" authorId="0" shapeId="0">
      <text>
        <t>Source: Final report sections 11-15 and 16
Decision date: 20 August 2026
Context: Pre-populated diligence request RFI-049.</t>
      </text>
    </comment>
    <comment ref="E57" authorId="0" shapeId="0">
      <text>
        <t>Source: Final report sections 11-15 and 16
Decision date: 20 August 2026
Context: Pre-populated diligence request RFI-049.</t>
      </text>
    </comment>
    <comment ref="F57" authorId="0" shapeId="0">
      <text>
        <t>Source: Final report sections 11-15 and 16
Decision date: 20 August 2026
Context: Pre-populated diligence request RFI-049.</t>
      </text>
    </comment>
    <comment ref="G57" authorId="0" shapeId="0">
      <text>
        <t>Source: Final report sections 11-15 and 16
Decision date: 20 August 2026
Context: Pre-populated diligence request RFI-049.</t>
      </text>
    </comment>
    <comment ref="H57" authorId="0" shapeId="0">
      <text>
        <t>Source: Final report sections 11-15 and 16
Decision date: 20 August 2026
Context: Pre-populated diligence request RFI-049.</t>
      </text>
    </comment>
    <comment ref="I57" authorId="0" shapeId="0">
      <text>
        <t>Source: Final report sections 11-15 and 16
Decision date: 20 August 2026
Context: Pre-populated diligence request RFI-049.</t>
      </text>
    </comment>
    <comment ref="J57" authorId="0" shapeId="0">
      <text>
        <t>Source: Final report sections 11-15 and 16
Decision date: 20 August 2026
Context: Pre-populated diligence request RFI-049.</t>
      </text>
    </comment>
    <comment ref="K57" authorId="0" shapeId="0">
      <text>
        <t>Source: Final report sections 11-15 and 16
Decision date: 20 August 2026
Context: Pre-populated diligence request RFI-049.</t>
      </text>
    </comment>
    <comment ref="L57" authorId="0" shapeId="0">
      <text>
        <t>Source: Final report sections 11-15 and 16
Decision date: 20 August 2026
Context: Pre-populated diligence request RFI-049.</t>
      </text>
    </comment>
    <comment ref="M57" authorId="0" shapeId="0">
      <text>
        <t>Source: Final report sections 11-15 and 16
Decision date: 20 August 2026
Context: Pre-populated diligence request RFI-049.</t>
      </text>
    </comment>
    <comment ref="O57" authorId="0" shapeId="0">
      <text>
        <t>Source: Final report sections 11-15 and 16
Decision date: 20 August 2026
Context: Pre-populated diligence request RFI-049.</t>
      </text>
    </comment>
    <comment ref="P57" authorId="0" shapeId="0">
      <text>
        <t>Source: Final report sections 11-15 and 16
Decision date: 20 August 2026
Context: Pre-populated diligence request RFI-049.</t>
      </text>
    </comment>
    <comment ref="Q57" authorId="0" shapeId="0">
      <text>
        <t>Source: Final report sections 11-15 and 16
Decision date: 20 August 2026
Context: Pre-populated diligence request RFI-049.</t>
      </text>
    </comment>
    <comment ref="S57" authorId="0" shapeId="0">
      <text>
        <t>Source: Final report sections 11-15 and 16
Decision date: 20 August 2026
Context: Pre-populated diligence request RFI-049.</t>
      </text>
    </comment>
    <comment ref="C58" authorId="0" shapeId="0">
      <text>
        <t>Source: Final report sections 11-15 and 16
Decision date: 20 August 2026
Context: Pre-populated diligence request RFI-050.</t>
      </text>
    </comment>
    <comment ref="D58" authorId="0" shapeId="0">
      <text>
        <t>Source: Final report sections 11-15 and 16
Decision date: 20 August 2026
Context: Pre-populated diligence request RFI-050.</t>
      </text>
    </comment>
    <comment ref="E58" authorId="0" shapeId="0">
      <text>
        <t>Source: Final report sections 11-15 and 16
Decision date: 20 August 2026
Context: Pre-populated diligence request RFI-050.</t>
      </text>
    </comment>
    <comment ref="F58" authorId="0" shapeId="0">
      <text>
        <t>Source: Final report sections 11-15 and 16
Decision date: 20 August 2026
Context: Pre-populated diligence request RFI-050.</t>
      </text>
    </comment>
    <comment ref="G58" authorId="0" shapeId="0">
      <text>
        <t>Source: Final report sections 11-15 and 16
Decision date: 20 August 2026
Context: Pre-populated diligence request RFI-050.</t>
      </text>
    </comment>
    <comment ref="H58" authorId="0" shapeId="0">
      <text>
        <t>Source: Final report sections 11-15 and 16
Decision date: 20 August 2026
Context: Pre-populated diligence request RFI-050.</t>
      </text>
    </comment>
    <comment ref="I58" authorId="0" shapeId="0">
      <text>
        <t>Source: Final report sections 11-15 and 16
Decision date: 20 August 2026
Context: Pre-populated diligence request RFI-050.</t>
      </text>
    </comment>
    <comment ref="J58" authorId="0" shapeId="0">
      <text>
        <t>Source: Final report sections 11-15 and 16
Decision date: 20 August 2026
Context: Pre-populated diligence request RFI-050.</t>
      </text>
    </comment>
    <comment ref="K58" authorId="0" shapeId="0">
      <text>
        <t>Source: Final report sections 11-15 and 16
Decision date: 20 August 2026
Context: Pre-populated diligence request RFI-050.</t>
      </text>
    </comment>
    <comment ref="L58" authorId="0" shapeId="0">
      <text>
        <t>Source: Final report sections 11-15 and 16
Decision date: 20 August 2026
Context: Pre-populated diligence request RFI-050.</t>
      </text>
    </comment>
    <comment ref="M58" authorId="0" shapeId="0">
      <text>
        <t>Source: Final report sections 11-15 and 16
Decision date: 20 August 2026
Context: Pre-populated diligence request RFI-050.</t>
      </text>
    </comment>
    <comment ref="O58" authorId="0" shapeId="0">
      <text>
        <t>Source: Final report sections 11-15 and 16
Decision date: 20 August 2026
Context: Pre-populated diligence request RFI-050.</t>
      </text>
    </comment>
    <comment ref="P58" authorId="0" shapeId="0">
      <text>
        <t>Source: Final report sections 11-15 and 16
Decision date: 20 August 2026
Context: Pre-populated diligence request RFI-050.</t>
      </text>
    </comment>
    <comment ref="Q58" authorId="0" shapeId="0">
      <text>
        <t>Source: Final report sections 11-15 and 16
Decision date: 20 August 2026
Context: Pre-populated diligence request RFI-050.</t>
      </text>
    </comment>
    <comment ref="S58" authorId="0" shapeId="0">
      <text>
        <t>Source: Final report sections 11-15 and 16
Decision date: 20 August 2026
Context: Pre-populated diligence request RFI-050.</t>
      </text>
    </comment>
    <comment ref="C59" authorId="0" shapeId="0">
      <text>
        <t>Source: Final report sections 11-15 and 16
Decision date: 20 August 2026
Context: Pre-populated diligence request RFI-051.</t>
      </text>
    </comment>
    <comment ref="D59" authorId="0" shapeId="0">
      <text>
        <t>Source: Final report sections 11-15 and 16
Decision date: 20 August 2026
Context: Pre-populated diligence request RFI-051.</t>
      </text>
    </comment>
    <comment ref="E59" authorId="0" shapeId="0">
      <text>
        <t>Source: Final report sections 11-15 and 16
Decision date: 20 August 2026
Context: Pre-populated diligence request RFI-051.</t>
      </text>
    </comment>
    <comment ref="F59" authorId="0" shapeId="0">
      <text>
        <t>Source: Final report sections 11-15 and 16
Decision date: 20 August 2026
Context: Pre-populated diligence request RFI-051.</t>
      </text>
    </comment>
    <comment ref="G59" authorId="0" shapeId="0">
      <text>
        <t>Source: Final report sections 11-15 and 16
Decision date: 20 August 2026
Context: Pre-populated diligence request RFI-051.</t>
      </text>
    </comment>
    <comment ref="H59" authorId="0" shapeId="0">
      <text>
        <t>Source: Final report sections 11-15 and 16
Decision date: 20 August 2026
Context: Pre-populated diligence request RFI-051.</t>
      </text>
    </comment>
    <comment ref="I59" authorId="0" shapeId="0">
      <text>
        <t>Source: Final report sections 11-15 and 16
Decision date: 20 August 2026
Context: Pre-populated diligence request RFI-051.</t>
      </text>
    </comment>
    <comment ref="J59" authorId="0" shapeId="0">
      <text>
        <t>Source: Final report sections 11-15 and 16
Decision date: 20 August 2026
Context: Pre-populated diligence request RFI-051.</t>
      </text>
    </comment>
    <comment ref="K59" authorId="0" shapeId="0">
      <text>
        <t>Source: Final report sections 11-15 and 16
Decision date: 20 August 2026
Context: Pre-populated diligence request RFI-051.</t>
      </text>
    </comment>
    <comment ref="L59" authorId="0" shapeId="0">
      <text>
        <t>Source: Final report sections 11-15 and 16
Decision date: 20 August 2026
Context: Pre-populated diligence request RFI-051.</t>
      </text>
    </comment>
    <comment ref="M59" authorId="0" shapeId="0">
      <text>
        <t>Source: Final report sections 11-15 and 16
Decision date: 20 August 2026
Context: Pre-populated diligence request RFI-051.</t>
      </text>
    </comment>
    <comment ref="O59" authorId="0" shapeId="0">
      <text>
        <t>Source: Final report sections 11-15 and 16
Decision date: 20 August 2026
Context: Pre-populated diligence request RFI-051.</t>
      </text>
    </comment>
    <comment ref="P59" authorId="0" shapeId="0">
      <text>
        <t>Source: Final report sections 11-15 and 16
Decision date: 20 August 2026
Context: Pre-populated diligence request RFI-051.</t>
      </text>
    </comment>
    <comment ref="Q59" authorId="0" shapeId="0">
      <text>
        <t>Source: Final report sections 11-15 and 16
Decision date: 20 August 2026
Context: Pre-populated diligence request RFI-051.</t>
      </text>
    </comment>
    <comment ref="S59" authorId="0" shapeId="0">
      <text>
        <t>Source: Final report sections 11-15 and 16
Decision date: 20 August 2026
Context: Pre-populated diligence request RFI-051.</t>
      </text>
    </comment>
    <comment ref="C60" authorId="0" shapeId="0">
      <text>
        <t>Source: Final report sections 11-15 and 16
Decision date: 20 August 2026
Context: Pre-populated diligence request RFI-052.</t>
      </text>
    </comment>
    <comment ref="D60" authorId="0" shapeId="0">
      <text>
        <t>Source: Final report sections 11-15 and 16
Decision date: 20 August 2026
Context: Pre-populated diligence request RFI-052.</t>
      </text>
    </comment>
    <comment ref="E60" authorId="0" shapeId="0">
      <text>
        <t>Source: Final report sections 11-15 and 16
Decision date: 20 August 2026
Context: Pre-populated diligence request RFI-052.</t>
      </text>
    </comment>
    <comment ref="F60" authorId="0" shapeId="0">
      <text>
        <t>Source: Final report sections 11-15 and 16
Decision date: 20 August 2026
Context: Pre-populated diligence request RFI-052.</t>
      </text>
    </comment>
    <comment ref="G60" authorId="0" shapeId="0">
      <text>
        <t>Source: Final report sections 11-15 and 16
Decision date: 20 August 2026
Context: Pre-populated diligence request RFI-052.</t>
      </text>
    </comment>
    <comment ref="H60" authorId="0" shapeId="0">
      <text>
        <t>Source: Final report sections 11-15 and 16
Decision date: 20 August 2026
Context: Pre-populated diligence request RFI-052.</t>
      </text>
    </comment>
    <comment ref="I60" authorId="0" shapeId="0">
      <text>
        <t>Source: Final report sections 11-15 and 16
Decision date: 20 August 2026
Context: Pre-populated diligence request RFI-052.</t>
      </text>
    </comment>
    <comment ref="J60" authorId="0" shapeId="0">
      <text>
        <t>Source: Final report sections 11-15 and 16
Decision date: 20 August 2026
Context: Pre-populated diligence request RFI-052.</t>
      </text>
    </comment>
    <comment ref="K60" authorId="0" shapeId="0">
      <text>
        <t>Source: Final report sections 11-15 and 16
Decision date: 20 August 2026
Context: Pre-populated diligence request RFI-052.</t>
      </text>
    </comment>
    <comment ref="L60" authorId="0" shapeId="0">
      <text>
        <t>Source: Final report sections 11-15 and 16
Decision date: 20 August 2026
Context: Pre-populated diligence request RFI-052.</t>
      </text>
    </comment>
    <comment ref="M60" authorId="0" shapeId="0">
      <text>
        <t>Source: Final report sections 11-15 and 16
Decision date: 20 August 2026
Context: Pre-populated diligence request RFI-052.</t>
      </text>
    </comment>
    <comment ref="O60" authorId="0" shapeId="0">
      <text>
        <t>Source: Final report sections 11-15 and 16
Decision date: 20 August 2026
Context: Pre-populated diligence request RFI-052.</t>
      </text>
    </comment>
    <comment ref="P60" authorId="0" shapeId="0">
      <text>
        <t>Source: Final report sections 11-15 and 16
Decision date: 20 August 2026
Context: Pre-populated diligence request RFI-052.</t>
      </text>
    </comment>
    <comment ref="Q60" authorId="0" shapeId="0">
      <text>
        <t>Source: Final report sections 11-15 and 16
Decision date: 20 August 2026
Context: Pre-populated diligence request RFI-052.</t>
      </text>
    </comment>
    <comment ref="S60" authorId="0" shapeId="0">
      <text>
        <t>Source: Final report sections 11-15 and 16
Decision date: 20 August 2026
Context: Pre-populated diligence request RFI-052.</t>
      </text>
    </comment>
    <comment ref="C61" authorId="0" shapeId="0">
      <text>
        <t>Source: Final report sections 11-15 and 16
Decision date: 20 August 2026
Context: Pre-populated diligence request RFI-053.</t>
      </text>
    </comment>
    <comment ref="D61" authorId="0" shapeId="0">
      <text>
        <t>Source: Final report sections 11-15 and 16
Decision date: 20 August 2026
Context: Pre-populated diligence request RFI-053.</t>
      </text>
    </comment>
    <comment ref="E61" authorId="0" shapeId="0">
      <text>
        <t>Source: Final report sections 11-15 and 16
Decision date: 20 August 2026
Context: Pre-populated diligence request RFI-053.</t>
      </text>
    </comment>
    <comment ref="F61" authorId="0" shapeId="0">
      <text>
        <t>Source: Final report sections 11-15 and 16
Decision date: 20 August 2026
Context: Pre-populated diligence request RFI-053.</t>
      </text>
    </comment>
    <comment ref="G61" authorId="0" shapeId="0">
      <text>
        <t>Source: Final report sections 11-15 and 16
Decision date: 20 August 2026
Context: Pre-populated diligence request RFI-053.</t>
      </text>
    </comment>
    <comment ref="H61" authorId="0" shapeId="0">
      <text>
        <t>Source: Final report sections 11-15 and 16
Decision date: 20 August 2026
Context: Pre-populated diligence request RFI-053.</t>
      </text>
    </comment>
    <comment ref="I61" authorId="0" shapeId="0">
      <text>
        <t>Source: Final report sections 11-15 and 16
Decision date: 20 August 2026
Context: Pre-populated diligence request RFI-053.</t>
      </text>
    </comment>
    <comment ref="J61" authorId="0" shapeId="0">
      <text>
        <t>Source: Final report sections 11-15 and 16
Decision date: 20 August 2026
Context: Pre-populated diligence request RFI-053.</t>
      </text>
    </comment>
    <comment ref="K61" authorId="0" shapeId="0">
      <text>
        <t>Source: Final report sections 11-15 and 16
Decision date: 20 August 2026
Context: Pre-populated diligence request RFI-053.</t>
      </text>
    </comment>
    <comment ref="L61" authorId="0" shapeId="0">
      <text>
        <t>Source: Final report sections 11-15 and 16
Decision date: 20 August 2026
Context: Pre-populated diligence request RFI-053.</t>
      </text>
    </comment>
    <comment ref="M61" authorId="0" shapeId="0">
      <text>
        <t>Source: Final report sections 11-15 and 16
Decision date: 20 August 2026
Context: Pre-populated diligence request RFI-053.</t>
      </text>
    </comment>
    <comment ref="O61" authorId="0" shapeId="0">
      <text>
        <t>Source: Final report sections 11-15 and 16
Decision date: 20 August 2026
Context: Pre-populated diligence request RFI-053.</t>
      </text>
    </comment>
    <comment ref="P61" authorId="0" shapeId="0">
      <text>
        <t>Source: Final report sections 11-15 and 16
Decision date: 20 August 2026
Context: Pre-populated diligence request RFI-053.</t>
      </text>
    </comment>
    <comment ref="Q61" authorId="0" shapeId="0">
      <text>
        <t>Source: Final report sections 11-15 and 16
Decision date: 20 August 2026
Context: Pre-populated diligence request RFI-053.</t>
      </text>
    </comment>
    <comment ref="S61" authorId="0" shapeId="0">
      <text>
        <t>Source: Final report sections 11-15 and 16
Decision date: 20 August 2026
Context: Pre-populated diligence request RFI-053.</t>
      </text>
    </comment>
    <comment ref="C62" authorId="0" shapeId="0">
      <text>
        <t>Source: Final report sections 11-15 and 16
Decision date: 20 August 2026
Context: Pre-populated diligence request RFI-054.</t>
      </text>
    </comment>
    <comment ref="D62" authorId="0" shapeId="0">
      <text>
        <t>Source: Final report sections 11-15 and 16
Decision date: 20 August 2026
Context: Pre-populated diligence request RFI-054.</t>
      </text>
    </comment>
    <comment ref="E62" authorId="0" shapeId="0">
      <text>
        <t>Source: Final report sections 11-15 and 16
Decision date: 20 August 2026
Context: Pre-populated diligence request RFI-054.</t>
      </text>
    </comment>
    <comment ref="F62" authorId="0" shapeId="0">
      <text>
        <t>Source: Final report sections 11-15 and 16
Decision date: 20 August 2026
Context: Pre-populated diligence request RFI-054.</t>
      </text>
    </comment>
    <comment ref="G62" authorId="0" shapeId="0">
      <text>
        <t>Source: Final report sections 11-15 and 16
Decision date: 20 August 2026
Context: Pre-populated diligence request RFI-054.</t>
      </text>
    </comment>
    <comment ref="H62" authorId="0" shapeId="0">
      <text>
        <t>Source: Final report sections 11-15 and 16
Decision date: 20 August 2026
Context: Pre-populated diligence request RFI-054.</t>
      </text>
    </comment>
    <comment ref="I62" authorId="0" shapeId="0">
      <text>
        <t>Source: Final report sections 11-15 and 16
Decision date: 20 August 2026
Context: Pre-populated diligence request RFI-054.</t>
      </text>
    </comment>
    <comment ref="J62" authorId="0" shapeId="0">
      <text>
        <t>Source: Final report sections 11-15 and 16
Decision date: 20 August 2026
Context: Pre-populated diligence request RFI-054.</t>
      </text>
    </comment>
    <comment ref="K62" authorId="0" shapeId="0">
      <text>
        <t>Source: Final report sections 11-15 and 16
Decision date: 20 August 2026
Context: Pre-populated diligence request RFI-054.</t>
      </text>
    </comment>
    <comment ref="L62" authorId="0" shapeId="0">
      <text>
        <t>Source: Final report sections 11-15 and 16
Decision date: 20 August 2026
Context: Pre-populated diligence request RFI-054.</t>
      </text>
    </comment>
    <comment ref="M62" authorId="0" shapeId="0">
      <text>
        <t>Source: Final report sections 11-15 and 16
Decision date: 20 August 2026
Context: Pre-populated diligence request RFI-054.</t>
      </text>
    </comment>
    <comment ref="O62" authorId="0" shapeId="0">
      <text>
        <t>Source: Final report sections 11-15 and 16
Decision date: 20 August 2026
Context: Pre-populated diligence request RFI-054.</t>
      </text>
    </comment>
    <comment ref="P62" authorId="0" shapeId="0">
      <text>
        <t>Source: Final report sections 11-15 and 16
Decision date: 20 August 2026
Context: Pre-populated diligence request RFI-054.</t>
      </text>
    </comment>
    <comment ref="Q62" authorId="0" shapeId="0">
      <text>
        <t>Source: Final report sections 11-15 and 16
Decision date: 20 August 2026
Context: Pre-populated diligence request RFI-054.</t>
      </text>
    </comment>
    <comment ref="S62" authorId="0" shapeId="0">
      <text>
        <t>Source: Final report sections 11-15 and 16
Decision date: 20 August 2026
Context: Pre-populated diligence request RFI-054.</t>
      </text>
    </comment>
    <comment ref="C63" authorId="0" shapeId="0">
      <text>
        <t>Source: Final report sections 11-15 and 16
Decision date: 20 August 2026
Context: Pre-populated diligence request RFI-055.</t>
      </text>
    </comment>
    <comment ref="D63" authorId="0" shapeId="0">
      <text>
        <t>Source: Final report sections 11-15 and 16
Decision date: 20 August 2026
Context: Pre-populated diligence request RFI-055.</t>
      </text>
    </comment>
    <comment ref="E63" authorId="0" shapeId="0">
      <text>
        <t>Source: Final report sections 11-15 and 16
Decision date: 20 August 2026
Context: Pre-populated diligence request RFI-055.</t>
      </text>
    </comment>
    <comment ref="F63" authorId="0" shapeId="0">
      <text>
        <t>Source: Final report sections 11-15 and 16
Decision date: 20 August 2026
Context: Pre-populated diligence request RFI-055.</t>
      </text>
    </comment>
    <comment ref="G63" authorId="0" shapeId="0">
      <text>
        <t>Source: Final report sections 11-15 and 16
Decision date: 20 August 2026
Context: Pre-populated diligence request RFI-055.</t>
      </text>
    </comment>
    <comment ref="H63" authorId="0" shapeId="0">
      <text>
        <t>Source: Final report sections 11-15 and 16
Decision date: 20 August 2026
Context: Pre-populated diligence request RFI-055.</t>
      </text>
    </comment>
    <comment ref="I63" authorId="0" shapeId="0">
      <text>
        <t>Source: Final report sections 11-15 and 16
Decision date: 20 August 2026
Context: Pre-populated diligence request RFI-055.</t>
      </text>
    </comment>
    <comment ref="J63" authorId="0" shapeId="0">
      <text>
        <t>Source: Final report sections 11-15 and 16
Decision date: 20 August 2026
Context: Pre-populated diligence request RFI-055.</t>
      </text>
    </comment>
    <comment ref="K63" authorId="0" shapeId="0">
      <text>
        <t>Source: Final report sections 11-15 and 16
Decision date: 20 August 2026
Context: Pre-populated diligence request RFI-055.</t>
      </text>
    </comment>
    <comment ref="L63" authorId="0" shapeId="0">
      <text>
        <t>Source: Final report sections 11-15 and 16
Decision date: 20 August 2026
Context: Pre-populated diligence request RFI-055.</t>
      </text>
    </comment>
    <comment ref="M63" authorId="0" shapeId="0">
      <text>
        <t>Source: Final report sections 11-15 and 16
Decision date: 20 August 2026
Context: Pre-populated diligence request RFI-055.</t>
      </text>
    </comment>
    <comment ref="O63" authorId="0" shapeId="0">
      <text>
        <t>Source: Final report sections 11-15 and 16
Decision date: 20 August 2026
Context: Pre-populated diligence request RFI-055.</t>
      </text>
    </comment>
    <comment ref="P63" authorId="0" shapeId="0">
      <text>
        <t>Source: Final report sections 11-15 and 16
Decision date: 20 August 2026
Context: Pre-populated diligence request RFI-055.</t>
      </text>
    </comment>
    <comment ref="Q63" authorId="0" shapeId="0">
      <text>
        <t>Source: Final report sections 11-15 and 16
Decision date: 20 August 2026
Context: Pre-populated diligence request RFI-055.</t>
      </text>
    </comment>
    <comment ref="S63" authorId="0" shapeId="0">
      <text>
        <t>Source: Final report sections 11-15 and 16
Decision date: 20 August 2026
Context: Pre-populated diligence request RFI-055.</t>
      </text>
    </comment>
    <comment ref="C64" authorId="0" shapeId="0">
      <text>
        <t>Source: Final report sections 11-15 and 16
Decision date: 20 August 2026
Context: Pre-populated diligence request RFI-056.</t>
      </text>
    </comment>
    <comment ref="D64" authorId="0" shapeId="0">
      <text>
        <t>Source: Final report sections 11-15 and 16
Decision date: 20 August 2026
Context: Pre-populated diligence request RFI-056.</t>
      </text>
    </comment>
    <comment ref="E64" authorId="0" shapeId="0">
      <text>
        <t>Source: Final report sections 11-15 and 16
Decision date: 20 August 2026
Context: Pre-populated diligence request RFI-056.</t>
      </text>
    </comment>
    <comment ref="F64" authorId="0" shapeId="0">
      <text>
        <t>Source: Final report sections 11-15 and 16
Decision date: 20 August 2026
Context: Pre-populated diligence request RFI-056.</t>
      </text>
    </comment>
    <comment ref="G64" authorId="0" shapeId="0">
      <text>
        <t>Source: Final report sections 11-15 and 16
Decision date: 20 August 2026
Context: Pre-populated diligence request RFI-056.</t>
      </text>
    </comment>
    <comment ref="H64" authorId="0" shapeId="0">
      <text>
        <t>Source: Final report sections 11-15 and 16
Decision date: 20 August 2026
Context: Pre-populated diligence request RFI-056.</t>
      </text>
    </comment>
    <comment ref="I64" authorId="0" shapeId="0">
      <text>
        <t>Source: Final report sections 11-15 and 16
Decision date: 20 August 2026
Context: Pre-populated diligence request RFI-056.</t>
      </text>
    </comment>
    <comment ref="J64" authorId="0" shapeId="0">
      <text>
        <t>Source: Final report sections 11-15 and 16
Decision date: 20 August 2026
Context: Pre-populated diligence request RFI-056.</t>
      </text>
    </comment>
    <comment ref="K64" authorId="0" shapeId="0">
      <text>
        <t>Source: Final report sections 11-15 and 16
Decision date: 20 August 2026
Context: Pre-populated diligence request RFI-056.</t>
      </text>
    </comment>
    <comment ref="L64" authorId="0" shapeId="0">
      <text>
        <t>Source: Final report sections 11-15 and 16
Decision date: 20 August 2026
Context: Pre-populated diligence request RFI-056.</t>
      </text>
    </comment>
    <comment ref="M64" authorId="0" shapeId="0">
      <text>
        <t>Source: Final report sections 11-15 and 16
Decision date: 20 August 2026
Context: Pre-populated diligence request RFI-056.</t>
      </text>
    </comment>
    <comment ref="O64" authorId="0" shapeId="0">
      <text>
        <t>Source: Final report sections 11-15 and 16
Decision date: 20 August 2026
Context: Pre-populated diligence request RFI-056.</t>
      </text>
    </comment>
    <comment ref="P64" authorId="0" shapeId="0">
      <text>
        <t>Source: Final report sections 11-15 and 16
Decision date: 20 August 2026
Context: Pre-populated diligence request RFI-056.</t>
      </text>
    </comment>
    <comment ref="Q64" authorId="0" shapeId="0">
      <text>
        <t>Source: Final report sections 11-15 and 16
Decision date: 20 August 2026
Context: Pre-populated diligence request RFI-056.</t>
      </text>
    </comment>
    <comment ref="S64" authorId="0" shapeId="0">
      <text>
        <t>Source: Final report sections 11-15 and 16
Decision date: 20 August 2026
Context: Pre-populated diligence request RFI-056.</t>
      </text>
    </comment>
    <comment ref="C65" authorId="0" shapeId="0">
      <text>
        <t>Source: Final report sections 11-15 and 16
Decision date: 20 August 2026
Context: Pre-populated diligence request RFI-057.</t>
      </text>
    </comment>
    <comment ref="D65" authorId="0" shapeId="0">
      <text>
        <t>Source: Final report sections 11-15 and 16
Decision date: 20 August 2026
Context: Pre-populated diligence request RFI-057.</t>
      </text>
    </comment>
    <comment ref="E65" authorId="0" shapeId="0">
      <text>
        <t>Source: Final report sections 11-15 and 16
Decision date: 20 August 2026
Context: Pre-populated diligence request RFI-057.</t>
      </text>
    </comment>
    <comment ref="F65" authorId="0" shapeId="0">
      <text>
        <t>Source: Final report sections 11-15 and 16
Decision date: 20 August 2026
Context: Pre-populated diligence request RFI-057.</t>
      </text>
    </comment>
    <comment ref="G65" authorId="0" shapeId="0">
      <text>
        <t>Source: Final report sections 11-15 and 16
Decision date: 20 August 2026
Context: Pre-populated diligence request RFI-057.</t>
      </text>
    </comment>
    <comment ref="H65" authorId="0" shapeId="0">
      <text>
        <t>Source: Final report sections 11-15 and 16
Decision date: 20 August 2026
Context: Pre-populated diligence request RFI-057.</t>
      </text>
    </comment>
    <comment ref="I65" authorId="0" shapeId="0">
      <text>
        <t>Source: Final report sections 11-15 and 16
Decision date: 20 August 2026
Context: Pre-populated diligence request RFI-057.</t>
      </text>
    </comment>
    <comment ref="J65" authorId="0" shapeId="0">
      <text>
        <t>Source: Final report sections 11-15 and 16
Decision date: 20 August 2026
Context: Pre-populated diligence request RFI-057.</t>
      </text>
    </comment>
    <comment ref="K65" authorId="0" shapeId="0">
      <text>
        <t>Source: Final report sections 11-15 and 16
Decision date: 20 August 2026
Context: Pre-populated diligence request RFI-057.</t>
      </text>
    </comment>
    <comment ref="L65" authorId="0" shapeId="0">
      <text>
        <t>Source: Final report sections 11-15 and 16
Decision date: 20 August 2026
Context: Pre-populated diligence request RFI-057.</t>
      </text>
    </comment>
    <comment ref="M65" authorId="0" shapeId="0">
      <text>
        <t>Source: Final report sections 11-15 and 16
Decision date: 20 August 2026
Context: Pre-populated diligence request RFI-057.</t>
      </text>
    </comment>
    <comment ref="O65" authorId="0" shapeId="0">
      <text>
        <t>Source: Final report sections 11-15 and 16
Decision date: 20 August 2026
Context: Pre-populated diligence request RFI-057.</t>
      </text>
    </comment>
    <comment ref="P65" authorId="0" shapeId="0">
      <text>
        <t>Source: Final report sections 11-15 and 16
Decision date: 20 August 2026
Context: Pre-populated diligence request RFI-057.</t>
      </text>
    </comment>
    <comment ref="Q65" authorId="0" shapeId="0">
      <text>
        <t>Source: Final report sections 11-15 and 16
Decision date: 20 August 2026
Context: Pre-populated diligence request RFI-057.</t>
      </text>
    </comment>
    <comment ref="S65" authorId="0" shapeId="0">
      <text>
        <t>Source: Final report sections 11-15 and 16
Decision date: 20 August 2026
Context: Pre-populated diligence request RFI-057.</t>
      </text>
    </comment>
    <comment ref="C66" authorId="0" shapeId="0">
      <text>
        <t>Source: Final report sections 11-15 and 16
Decision date: 20 August 2026
Context: Pre-populated diligence request RFI-058.</t>
      </text>
    </comment>
    <comment ref="D66" authorId="0" shapeId="0">
      <text>
        <t>Source: Final report sections 11-15 and 16
Decision date: 20 August 2026
Context: Pre-populated diligence request RFI-058.</t>
      </text>
    </comment>
    <comment ref="E66" authorId="0" shapeId="0">
      <text>
        <t>Source: Final report sections 11-15 and 16
Decision date: 20 August 2026
Context: Pre-populated diligence request RFI-058.</t>
      </text>
    </comment>
    <comment ref="F66" authorId="0" shapeId="0">
      <text>
        <t>Source: Final report sections 11-15 and 16
Decision date: 20 August 2026
Context: Pre-populated diligence request RFI-058.</t>
      </text>
    </comment>
    <comment ref="G66" authorId="0" shapeId="0">
      <text>
        <t>Source: Final report sections 11-15 and 16
Decision date: 20 August 2026
Context: Pre-populated diligence request RFI-058.</t>
      </text>
    </comment>
    <comment ref="H66" authorId="0" shapeId="0">
      <text>
        <t>Source: Final report sections 11-15 and 16
Decision date: 20 August 2026
Context: Pre-populated diligence request RFI-058.</t>
      </text>
    </comment>
    <comment ref="I66" authorId="0" shapeId="0">
      <text>
        <t>Source: Final report sections 11-15 and 16
Decision date: 20 August 2026
Context: Pre-populated diligence request RFI-058.</t>
      </text>
    </comment>
    <comment ref="J66" authorId="0" shapeId="0">
      <text>
        <t>Source: Final report sections 11-15 and 16
Decision date: 20 August 2026
Context: Pre-populated diligence request RFI-058.</t>
      </text>
    </comment>
    <comment ref="K66" authorId="0" shapeId="0">
      <text>
        <t>Source: Final report sections 11-15 and 16
Decision date: 20 August 2026
Context: Pre-populated diligence request RFI-058.</t>
      </text>
    </comment>
    <comment ref="L66" authorId="0" shapeId="0">
      <text>
        <t>Source: Final report sections 11-15 and 16
Decision date: 20 August 2026
Context: Pre-populated diligence request RFI-058.</t>
      </text>
    </comment>
    <comment ref="M66" authorId="0" shapeId="0">
      <text>
        <t>Source: Final report sections 11-15 and 16
Decision date: 20 August 2026
Context: Pre-populated diligence request RFI-058.</t>
      </text>
    </comment>
    <comment ref="O66" authorId="0" shapeId="0">
      <text>
        <t>Source: Final report sections 11-15 and 16
Decision date: 20 August 2026
Context: Pre-populated diligence request RFI-058.</t>
      </text>
    </comment>
    <comment ref="P66" authorId="0" shapeId="0">
      <text>
        <t>Source: Final report sections 11-15 and 16
Decision date: 20 August 2026
Context: Pre-populated diligence request RFI-058.</t>
      </text>
    </comment>
    <comment ref="Q66" authorId="0" shapeId="0">
      <text>
        <t>Source: Final report sections 11-15 and 16
Decision date: 20 August 2026
Context: Pre-populated diligence request RFI-058.</t>
      </text>
    </comment>
    <comment ref="S66" authorId="0" shapeId="0">
      <text>
        <t>Source: Final report sections 11-15 and 16
Decision date: 20 August 2026
Context: Pre-populated diligence request RFI-058.</t>
      </text>
    </comment>
    <comment ref="C67" authorId="0" shapeId="0">
      <text>
        <t>Source: Final report sections 11-15 and 16
Decision date: 20 August 2026
Context: Pre-populated diligence request RFI-059.</t>
      </text>
    </comment>
    <comment ref="D67" authorId="0" shapeId="0">
      <text>
        <t>Source: Final report sections 11-15 and 16
Decision date: 20 August 2026
Context: Pre-populated diligence request RFI-059.</t>
      </text>
    </comment>
    <comment ref="E67" authorId="0" shapeId="0">
      <text>
        <t>Source: Final report sections 11-15 and 16
Decision date: 20 August 2026
Context: Pre-populated diligence request RFI-059.</t>
      </text>
    </comment>
    <comment ref="F67" authorId="0" shapeId="0">
      <text>
        <t>Source: Final report sections 11-15 and 16
Decision date: 20 August 2026
Context: Pre-populated diligence request RFI-059.</t>
      </text>
    </comment>
    <comment ref="G67" authorId="0" shapeId="0">
      <text>
        <t>Source: Final report sections 11-15 and 16
Decision date: 20 August 2026
Context: Pre-populated diligence request RFI-059.</t>
      </text>
    </comment>
    <comment ref="H67" authorId="0" shapeId="0">
      <text>
        <t>Source: Final report sections 11-15 and 16
Decision date: 20 August 2026
Context: Pre-populated diligence request RFI-059.</t>
      </text>
    </comment>
    <comment ref="I67" authorId="0" shapeId="0">
      <text>
        <t>Source: Final report sections 11-15 and 16
Decision date: 20 August 2026
Context: Pre-populated diligence request RFI-059.</t>
      </text>
    </comment>
    <comment ref="J67" authorId="0" shapeId="0">
      <text>
        <t>Source: Final report sections 11-15 and 16
Decision date: 20 August 2026
Context: Pre-populated diligence request RFI-059.</t>
      </text>
    </comment>
    <comment ref="K67" authorId="0" shapeId="0">
      <text>
        <t>Source: Final report sections 11-15 and 16
Decision date: 20 August 2026
Context: Pre-populated diligence request RFI-059.</t>
      </text>
    </comment>
    <comment ref="L67" authorId="0" shapeId="0">
      <text>
        <t>Source: Final report sections 11-15 and 16
Decision date: 20 August 2026
Context: Pre-populated diligence request RFI-059.</t>
      </text>
    </comment>
    <comment ref="M67" authorId="0" shapeId="0">
      <text>
        <t>Source: Final report sections 11-15 and 16
Decision date: 20 August 2026
Context: Pre-populated diligence request RFI-059.</t>
      </text>
    </comment>
    <comment ref="O67" authorId="0" shapeId="0">
      <text>
        <t>Source: Final report sections 11-15 and 16
Decision date: 20 August 2026
Context: Pre-populated diligence request RFI-059.</t>
      </text>
    </comment>
    <comment ref="P67" authorId="0" shapeId="0">
      <text>
        <t>Source: Final report sections 11-15 and 16
Decision date: 20 August 2026
Context: Pre-populated diligence request RFI-059.</t>
      </text>
    </comment>
    <comment ref="Q67" authorId="0" shapeId="0">
      <text>
        <t>Source: Final report sections 11-15 and 16
Decision date: 20 August 2026
Context: Pre-populated diligence request RFI-059.</t>
      </text>
    </comment>
    <comment ref="S67" authorId="0" shapeId="0">
      <text>
        <t>Source: Final report sections 11-15 and 16
Decision date: 20 August 2026
Context: Pre-populated diligence request RFI-059.</t>
      </text>
    </comment>
    <comment ref="C68" authorId="0" shapeId="0">
      <text>
        <t>Source: Final report sections 11-15 and 16
Decision date: 20 August 2026
Context: Pre-populated diligence request RFI-060.</t>
      </text>
    </comment>
    <comment ref="D68" authorId="0" shapeId="0">
      <text>
        <t>Source: Final report sections 11-15 and 16
Decision date: 20 August 2026
Context: Pre-populated diligence request RFI-060.</t>
      </text>
    </comment>
    <comment ref="E68" authorId="0" shapeId="0">
      <text>
        <t>Source: Final report sections 11-15 and 16
Decision date: 20 August 2026
Context: Pre-populated diligence request RFI-060.</t>
      </text>
    </comment>
    <comment ref="F68" authorId="0" shapeId="0">
      <text>
        <t>Source: Final report sections 11-15 and 16
Decision date: 20 August 2026
Context: Pre-populated diligence request RFI-060.</t>
      </text>
    </comment>
    <comment ref="G68" authorId="0" shapeId="0">
      <text>
        <t>Source: Final report sections 11-15 and 16
Decision date: 20 August 2026
Context: Pre-populated diligence request RFI-060.</t>
      </text>
    </comment>
    <comment ref="H68" authorId="0" shapeId="0">
      <text>
        <t>Source: Final report sections 11-15 and 16
Decision date: 20 August 2026
Context: Pre-populated diligence request RFI-060.</t>
      </text>
    </comment>
    <comment ref="I68" authorId="0" shapeId="0">
      <text>
        <t>Source: Final report sections 11-15 and 16
Decision date: 20 August 2026
Context: Pre-populated diligence request RFI-060.</t>
      </text>
    </comment>
    <comment ref="J68" authorId="0" shapeId="0">
      <text>
        <t>Source: Final report sections 11-15 and 16
Decision date: 20 August 2026
Context: Pre-populated diligence request RFI-060.</t>
      </text>
    </comment>
    <comment ref="K68" authorId="0" shapeId="0">
      <text>
        <t>Source: Final report sections 11-15 and 16
Decision date: 20 August 2026
Context: Pre-populated diligence request RFI-060.</t>
      </text>
    </comment>
    <comment ref="L68" authorId="0" shapeId="0">
      <text>
        <t>Source: Final report sections 11-15 and 16
Decision date: 20 August 2026
Context: Pre-populated diligence request RFI-060.</t>
      </text>
    </comment>
    <comment ref="M68" authorId="0" shapeId="0">
      <text>
        <t>Source: Final report sections 11-15 and 16
Decision date: 20 August 2026
Context: Pre-populated diligence request RFI-060.</t>
      </text>
    </comment>
    <comment ref="O68" authorId="0" shapeId="0">
      <text>
        <t>Source: Final report sections 11-15 and 16
Decision date: 20 August 2026
Context: Pre-populated diligence request RFI-060.</t>
      </text>
    </comment>
    <comment ref="P68" authorId="0" shapeId="0">
      <text>
        <t>Source: Final report sections 11-15 and 16
Decision date: 20 August 2026
Context: Pre-populated diligence request RFI-060.</t>
      </text>
    </comment>
    <comment ref="Q68" authorId="0" shapeId="0">
      <text>
        <t>Source: Final report sections 11-15 and 16
Decision date: 20 August 2026
Context: Pre-populated diligence request RFI-060.</t>
      </text>
    </comment>
    <comment ref="S68" authorId="0" shapeId="0">
      <text>
        <t>Source: Final report sections 11-15 and 16
Decision date: 20 August 2026
Context: Pre-populated diligence request RFI-060.</t>
      </text>
    </comment>
    <comment ref="C69" authorId="0" shapeId="0">
      <text>
        <t>Source: Final report sections 11-15 and 16
Decision date: 20 August 2026
Context: Pre-populated diligence request RFI-061.</t>
      </text>
    </comment>
    <comment ref="D69" authorId="0" shapeId="0">
      <text>
        <t>Source: Final report sections 11-15 and 16
Decision date: 20 August 2026
Context: Pre-populated diligence request RFI-061.</t>
      </text>
    </comment>
    <comment ref="E69" authorId="0" shapeId="0">
      <text>
        <t>Source: Final report sections 11-15 and 16
Decision date: 20 August 2026
Context: Pre-populated diligence request RFI-061.</t>
      </text>
    </comment>
    <comment ref="F69" authorId="0" shapeId="0">
      <text>
        <t>Source: Final report sections 11-15 and 16
Decision date: 20 August 2026
Context: Pre-populated diligence request RFI-061.</t>
      </text>
    </comment>
    <comment ref="G69" authorId="0" shapeId="0">
      <text>
        <t>Source: Final report sections 11-15 and 16
Decision date: 20 August 2026
Context: Pre-populated diligence request RFI-061.</t>
      </text>
    </comment>
    <comment ref="H69" authorId="0" shapeId="0">
      <text>
        <t>Source: Final report sections 11-15 and 16
Decision date: 20 August 2026
Context: Pre-populated diligence request RFI-061.</t>
      </text>
    </comment>
    <comment ref="I69" authorId="0" shapeId="0">
      <text>
        <t>Source: Final report sections 11-15 and 16
Decision date: 20 August 2026
Context: Pre-populated diligence request RFI-061.</t>
      </text>
    </comment>
    <comment ref="J69" authorId="0" shapeId="0">
      <text>
        <t>Source: Final report sections 11-15 and 16
Decision date: 20 August 2026
Context: Pre-populated diligence request RFI-061.</t>
      </text>
    </comment>
    <comment ref="K69" authorId="0" shapeId="0">
      <text>
        <t>Source: Final report sections 11-15 and 16
Decision date: 20 August 2026
Context: Pre-populated diligence request RFI-061.</t>
      </text>
    </comment>
    <comment ref="L69" authorId="0" shapeId="0">
      <text>
        <t>Source: Final report sections 11-15 and 16
Decision date: 20 August 2026
Context: Pre-populated diligence request RFI-061.</t>
      </text>
    </comment>
    <comment ref="M69" authorId="0" shapeId="0">
      <text>
        <t>Source: Final report sections 11-15 and 16
Decision date: 20 August 2026
Context: Pre-populated diligence request RFI-061.</t>
      </text>
    </comment>
    <comment ref="O69" authorId="0" shapeId="0">
      <text>
        <t>Source: Final report sections 11-15 and 16
Decision date: 20 August 2026
Context: Pre-populated diligence request RFI-061.</t>
      </text>
    </comment>
    <comment ref="P69" authorId="0" shapeId="0">
      <text>
        <t>Source: Final report sections 11-15 and 16
Decision date: 20 August 2026
Context: Pre-populated diligence request RFI-061.</t>
      </text>
    </comment>
    <comment ref="Q69" authorId="0" shapeId="0">
      <text>
        <t>Source: Final report sections 11-15 and 16
Decision date: 20 August 2026
Context: Pre-populated diligence request RFI-061.</t>
      </text>
    </comment>
    <comment ref="S69" authorId="0" shapeId="0">
      <text>
        <t>Source: Final report sections 11-15 and 16
Decision date: 20 August 2026
Context: Pre-populated diligence request RFI-061.</t>
      </text>
    </comment>
    <comment ref="C70" authorId="0" shapeId="0">
      <text>
        <t>Source: Final report sections 11-15 and 16
Decision date: 20 August 2026
Context: Pre-populated diligence request RFI-062.</t>
      </text>
    </comment>
    <comment ref="D70" authorId="0" shapeId="0">
      <text>
        <t>Source: Final report sections 11-15 and 16
Decision date: 20 August 2026
Context: Pre-populated diligence request RFI-062.</t>
      </text>
    </comment>
    <comment ref="E70" authorId="0" shapeId="0">
      <text>
        <t>Source: Final report sections 11-15 and 16
Decision date: 20 August 2026
Context: Pre-populated diligence request RFI-062.</t>
      </text>
    </comment>
    <comment ref="F70" authorId="0" shapeId="0">
      <text>
        <t>Source: Final report sections 11-15 and 16
Decision date: 20 August 2026
Context: Pre-populated diligence request RFI-062.</t>
      </text>
    </comment>
    <comment ref="G70" authorId="0" shapeId="0">
      <text>
        <t>Source: Final report sections 11-15 and 16
Decision date: 20 August 2026
Context: Pre-populated diligence request RFI-062.</t>
      </text>
    </comment>
    <comment ref="H70" authorId="0" shapeId="0">
      <text>
        <t>Source: Final report sections 11-15 and 16
Decision date: 20 August 2026
Context: Pre-populated diligence request RFI-062.</t>
      </text>
    </comment>
    <comment ref="I70" authorId="0" shapeId="0">
      <text>
        <t>Source: Final report sections 11-15 and 16
Decision date: 20 August 2026
Context: Pre-populated diligence request RFI-062.</t>
      </text>
    </comment>
    <comment ref="J70" authorId="0" shapeId="0">
      <text>
        <t>Source: Final report sections 11-15 and 16
Decision date: 20 August 2026
Context: Pre-populated diligence request RFI-062.</t>
      </text>
    </comment>
    <comment ref="K70" authorId="0" shapeId="0">
      <text>
        <t>Source: Final report sections 11-15 and 16
Decision date: 20 August 2026
Context: Pre-populated diligence request RFI-062.</t>
      </text>
    </comment>
    <comment ref="L70" authorId="0" shapeId="0">
      <text>
        <t>Source: Final report sections 11-15 and 16
Decision date: 20 August 2026
Context: Pre-populated diligence request RFI-062.</t>
      </text>
    </comment>
    <comment ref="M70" authorId="0" shapeId="0">
      <text>
        <t>Source: Final report sections 11-15 and 16
Decision date: 20 August 2026
Context: Pre-populated diligence request RFI-062.</t>
      </text>
    </comment>
    <comment ref="O70" authorId="0" shapeId="0">
      <text>
        <t>Source: Final report sections 11-15 and 16
Decision date: 20 August 2026
Context: Pre-populated diligence request RFI-062.</t>
      </text>
    </comment>
    <comment ref="P70" authorId="0" shapeId="0">
      <text>
        <t>Source: Final report sections 11-15 and 16
Decision date: 20 August 2026
Context: Pre-populated diligence request RFI-062.</t>
      </text>
    </comment>
    <comment ref="Q70" authorId="0" shapeId="0">
      <text>
        <t>Source: Final report sections 11-15 and 16
Decision date: 20 August 2026
Context: Pre-populated diligence request RFI-062.</t>
      </text>
    </comment>
    <comment ref="S70" authorId="0" shapeId="0">
      <text>
        <t>Source: Final report sections 11-15 and 16
Decision date: 20 August 2026
Context: Pre-populated diligence request RFI-062.</t>
      </text>
    </comment>
    <comment ref="C71" authorId="0" shapeId="0">
      <text>
        <t>Source: Final report sections 11-15 and 16
Decision date: 20 August 2026
Context: Pre-populated diligence request RFI-063.</t>
      </text>
    </comment>
    <comment ref="D71" authorId="0" shapeId="0">
      <text>
        <t>Source: Final report sections 11-15 and 16
Decision date: 20 August 2026
Context: Pre-populated diligence request RFI-063.</t>
      </text>
    </comment>
    <comment ref="E71" authorId="0" shapeId="0">
      <text>
        <t>Source: Final report sections 11-15 and 16
Decision date: 20 August 2026
Context: Pre-populated diligence request RFI-063.</t>
      </text>
    </comment>
    <comment ref="F71" authorId="0" shapeId="0">
      <text>
        <t>Source: Final report sections 11-15 and 16
Decision date: 20 August 2026
Context: Pre-populated diligence request RFI-063.</t>
      </text>
    </comment>
    <comment ref="G71" authorId="0" shapeId="0">
      <text>
        <t>Source: Final report sections 11-15 and 16
Decision date: 20 August 2026
Context: Pre-populated diligence request RFI-063.</t>
      </text>
    </comment>
    <comment ref="H71" authorId="0" shapeId="0">
      <text>
        <t>Source: Final report sections 11-15 and 16
Decision date: 20 August 2026
Context: Pre-populated diligence request RFI-063.</t>
      </text>
    </comment>
    <comment ref="I71" authorId="0" shapeId="0">
      <text>
        <t>Source: Final report sections 11-15 and 16
Decision date: 20 August 2026
Context: Pre-populated diligence request RFI-063.</t>
      </text>
    </comment>
    <comment ref="J71" authorId="0" shapeId="0">
      <text>
        <t>Source: Final report sections 11-15 and 16
Decision date: 20 August 2026
Context: Pre-populated diligence request RFI-063.</t>
      </text>
    </comment>
    <comment ref="K71" authorId="0" shapeId="0">
      <text>
        <t>Source: Final report sections 11-15 and 16
Decision date: 20 August 2026
Context: Pre-populated diligence request RFI-063.</t>
      </text>
    </comment>
    <comment ref="L71" authorId="0" shapeId="0">
      <text>
        <t>Source: Final report sections 11-15 and 16
Decision date: 20 August 2026
Context: Pre-populated diligence request RFI-063.</t>
      </text>
    </comment>
    <comment ref="M71" authorId="0" shapeId="0">
      <text>
        <t>Source: Final report sections 11-15 and 16
Decision date: 20 August 2026
Context: Pre-populated diligence request RFI-063.</t>
      </text>
    </comment>
    <comment ref="O71" authorId="0" shapeId="0">
      <text>
        <t>Source: Final report sections 11-15 and 16
Decision date: 20 August 2026
Context: Pre-populated diligence request RFI-063.</t>
      </text>
    </comment>
    <comment ref="P71" authorId="0" shapeId="0">
      <text>
        <t>Source: Final report sections 11-15 and 16
Decision date: 20 August 2026
Context: Pre-populated diligence request RFI-063.</t>
      </text>
    </comment>
    <comment ref="Q71" authorId="0" shapeId="0">
      <text>
        <t>Source: Final report sections 11-15 and 16
Decision date: 20 August 2026
Context: Pre-populated diligence request RFI-063.</t>
      </text>
    </comment>
    <comment ref="S71" authorId="0" shapeId="0">
      <text>
        <t>Source: Final report sections 11-15 and 16
Decision date: 20 August 2026
Context: Pre-populated diligence request RFI-063.</t>
      </text>
    </comment>
    <comment ref="C72" authorId="0" shapeId="0">
      <text>
        <t>Source: Final report sections 11-15 and 16
Decision date: 20 August 2026
Context: Pre-populated diligence request RFI-064.</t>
      </text>
    </comment>
    <comment ref="D72" authorId="0" shapeId="0">
      <text>
        <t>Source: Final report sections 11-15 and 16
Decision date: 20 August 2026
Context: Pre-populated diligence request RFI-064.</t>
      </text>
    </comment>
    <comment ref="E72" authorId="0" shapeId="0">
      <text>
        <t>Source: Final report sections 11-15 and 16
Decision date: 20 August 2026
Context: Pre-populated diligence request RFI-064.</t>
      </text>
    </comment>
    <comment ref="F72" authorId="0" shapeId="0">
      <text>
        <t>Source: Final report sections 11-15 and 16
Decision date: 20 August 2026
Context: Pre-populated diligence request RFI-064.</t>
      </text>
    </comment>
    <comment ref="G72" authorId="0" shapeId="0">
      <text>
        <t>Source: Final report sections 11-15 and 16
Decision date: 20 August 2026
Context: Pre-populated diligence request RFI-064.</t>
      </text>
    </comment>
    <comment ref="H72" authorId="0" shapeId="0">
      <text>
        <t>Source: Final report sections 11-15 and 16
Decision date: 20 August 2026
Context: Pre-populated diligence request RFI-064.</t>
      </text>
    </comment>
    <comment ref="I72" authorId="0" shapeId="0">
      <text>
        <t>Source: Final report sections 11-15 and 16
Decision date: 20 August 2026
Context: Pre-populated diligence request RFI-064.</t>
      </text>
    </comment>
    <comment ref="J72" authorId="0" shapeId="0">
      <text>
        <t>Source: Final report sections 11-15 and 16
Decision date: 20 August 2026
Context: Pre-populated diligence request RFI-064.</t>
      </text>
    </comment>
    <comment ref="K72" authorId="0" shapeId="0">
      <text>
        <t>Source: Final report sections 11-15 and 16
Decision date: 20 August 2026
Context: Pre-populated diligence request RFI-064.</t>
      </text>
    </comment>
    <comment ref="L72" authorId="0" shapeId="0">
      <text>
        <t>Source: Final report sections 11-15 and 16
Decision date: 20 August 2026
Context: Pre-populated diligence request RFI-064.</t>
      </text>
    </comment>
    <comment ref="M72" authorId="0" shapeId="0">
      <text>
        <t>Source: Final report sections 11-15 and 16
Decision date: 20 August 2026
Context: Pre-populated diligence request RFI-064.</t>
      </text>
    </comment>
    <comment ref="O72" authorId="0" shapeId="0">
      <text>
        <t>Source: Final report sections 11-15 and 16
Decision date: 20 August 2026
Context: Pre-populated diligence request RFI-064.</t>
      </text>
    </comment>
    <comment ref="P72" authorId="0" shapeId="0">
      <text>
        <t>Source: Final report sections 11-15 and 16
Decision date: 20 August 2026
Context: Pre-populated diligence request RFI-064.</t>
      </text>
    </comment>
    <comment ref="Q72" authorId="0" shapeId="0">
      <text>
        <t>Source: Final report sections 11-15 and 16
Decision date: 20 August 2026
Context: Pre-populated diligence request RFI-064.</t>
      </text>
    </comment>
    <comment ref="S72" authorId="0" shapeId="0">
      <text>
        <t>Source: Final report sections 11-15 and 16
Decision date: 20 August 2026
Context: Pre-populated diligence request RFI-064.</t>
      </text>
    </comment>
    <comment ref="C73" authorId="0" shapeId="0">
      <text>
        <t>Source: Final report sections 11-15 and 16
Decision date: 20 August 2026
Context: Pre-populated diligence request RFI-065.</t>
      </text>
    </comment>
    <comment ref="D73" authorId="0" shapeId="0">
      <text>
        <t>Source: Final report sections 11-15 and 16
Decision date: 20 August 2026
Context: Pre-populated diligence request RFI-065.</t>
      </text>
    </comment>
    <comment ref="E73" authorId="0" shapeId="0">
      <text>
        <t>Source: Final report sections 11-15 and 16
Decision date: 20 August 2026
Context: Pre-populated diligence request RFI-065.</t>
      </text>
    </comment>
    <comment ref="F73" authorId="0" shapeId="0">
      <text>
        <t>Source: Final report sections 11-15 and 16
Decision date: 20 August 2026
Context: Pre-populated diligence request RFI-065.</t>
      </text>
    </comment>
    <comment ref="G73" authorId="0" shapeId="0">
      <text>
        <t>Source: Final report sections 11-15 and 16
Decision date: 20 August 2026
Context: Pre-populated diligence request RFI-065.</t>
      </text>
    </comment>
    <comment ref="H73" authorId="0" shapeId="0">
      <text>
        <t>Source: Final report sections 11-15 and 16
Decision date: 20 August 2026
Context: Pre-populated diligence request RFI-065.</t>
      </text>
    </comment>
    <comment ref="I73" authorId="0" shapeId="0">
      <text>
        <t>Source: Final report sections 11-15 and 16
Decision date: 20 August 2026
Context: Pre-populated diligence request RFI-065.</t>
      </text>
    </comment>
    <comment ref="J73" authorId="0" shapeId="0">
      <text>
        <t>Source: Final report sections 11-15 and 16
Decision date: 20 August 2026
Context: Pre-populated diligence request RFI-065.</t>
      </text>
    </comment>
    <comment ref="K73" authorId="0" shapeId="0">
      <text>
        <t>Source: Final report sections 11-15 and 16
Decision date: 20 August 2026
Context: Pre-populated diligence request RFI-065.</t>
      </text>
    </comment>
    <comment ref="L73" authorId="0" shapeId="0">
      <text>
        <t>Source: Final report sections 11-15 and 16
Decision date: 20 August 2026
Context: Pre-populated diligence request RFI-065.</t>
      </text>
    </comment>
    <comment ref="M73" authorId="0" shapeId="0">
      <text>
        <t>Source: Final report sections 11-15 and 16
Decision date: 20 August 2026
Context: Pre-populated diligence request RFI-065.</t>
      </text>
    </comment>
    <comment ref="O73" authorId="0" shapeId="0">
      <text>
        <t>Source: Final report sections 11-15 and 16
Decision date: 20 August 2026
Context: Pre-populated diligence request RFI-065.</t>
      </text>
    </comment>
    <comment ref="P73" authorId="0" shapeId="0">
      <text>
        <t>Source: Final report sections 11-15 and 16
Decision date: 20 August 2026
Context: Pre-populated diligence request RFI-065.</t>
      </text>
    </comment>
    <comment ref="Q73" authorId="0" shapeId="0">
      <text>
        <t>Source: Final report sections 11-15 and 16
Decision date: 20 August 2026
Context: Pre-populated diligence request RFI-065.</t>
      </text>
    </comment>
    <comment ref="S73" authorId="0" shapeId="0">
      <text>
        <t>Source: Final report sections 11-15 and 16
Decision date: 20 August 2026
Context: Pre-populated diligence request RFI-065.</t>
      </text>
    </comment>
    <comment ref="C74" authorId="0" shapeId="0">
      <text>
        <t>Source: Final report sections 11-15 and 16
Decision date: 20 August 2026
Context: Pre-populated diligence request RFI-066.</t>
      </text>
    </comment>
    <comment ref="D74" authorId="0" shapeId="0">
      <text>
        <t>Source: Final report sections 11-15 and 16
Decision date: 20 August 2026
Context: Pre-populated diligence request RFI-066.</t>
      </text>
    </comment>
    <comment ref="E74" authorId="0" shapeId="0">
      <text>
        <t>Source: Final report sections 11-15 and 16
Decision date: 20 August 2026
Context: Pre-populated diligence request RFI-066.</t>
      </text>
    </comment>
    <comment ref="F74" authorId="0" shapeId="0">
      <text>
        <t>Source: Final report sections 11-15 and 16
Decision date: 20 August 2026
Context: Pre-populated diligence request RFI-066.</t>
      </text>
    </comment>
    <comment ref="G74" authorId="0" shapeId="0">
      <text>
        <t>Source: Final report sections 11-15 and 16
Decision date: 20 August 2026
Context: Pre-populated diligence request RFI-066.</t>
      </text>
    </comment>
    <comment ref="H74" authorId="0" shapeId="0">
      <text>
        <t>Source: Final report sections 11-15 and 16
Decision date: 20 August 2026
Context: Pre-populated diligence request RFI-066.</t>
      </text>
    </comment>
    <comment ref="I74" authorId="0" shapeId="0">
      <text>
        <t>Source: Final report sections 11-15 and 16
Decision date: 20 August 2026
Context: Pre-populated diligence request RFI-066.</t>
      </text>
    </comment>
    <comment ref="J74" authorId="0" shapeId="0">
      <text>
        <t>Source: Final report sections 11-15 and 16
Decision date: 20 August 2026
Context: Pre-populated diligence request RFI-066.</t>
      </text>
    </comment>
    <comment ref="K74" authorId="0" shapeId="0">
      <text>
        <t>Source: Final report sections 11-15 and 16
Decision date: 20 August 2026
Context: Pre-populated diligence request RFI-066.</t>
      </text>
    </comment>
    <comment ref="L74" authorId="0" shapeId="0">
      <text>
        <t>Source: Final report sections 11-15 and 16
Decision date: 20 August 2026
Context: Pre-populated diligence request RFI-066.</t>
      </text>
    </comment>
    <comment ref="M74" authorId="0" shapeId="0">
      <text>
        <t>Source: Final report sections 11-15 and 16
Decision date: 20 August 2026
Context: Pre-populated diligence request RFI-066.</t>
      </text>
    </comment>
    <comment ref="O74" authorId="0" shapeId="0">
      <text>
        <t>Source: Final report sections 11-15 and 16
Decision date: 20 August 2026
Context: Pre-populated diligence request RFI-066.</t>
      </text>
    </comment>
    <comment ref="P74" authorId="0" shapeId="0">
      <text>
        <t>Source: Final report sections 11-15 and 16
Decision date: 20 August 2026
Context: Pre-populated diligence request RFI-066.</t>
      </text>
    </comment>
    <comment ref="Q74" authorId="0" shapeId="0">
      <text>
        <t>Source: Final report sections 11-15 and 16
Decision date: 20 August 2026
Context: Pre-populated diligence request RFI-066.</t>
      </text>
    </comment>
    <comment ref="S74" authorId="0" shapeId="0">
      <text>
        <t>Source: Final report sections 11-15 and 16
Decision date: 20 August 2026
Context: Pre-populated diligence request RFI-066.</t>
      </text>
    </comment>
    <comment ref="C75" authorId="0" shapeId="0">
      <text>
        <t>Source: Final report sections 11-15 and 16
Decision date: 20 August 2026
Context: Pre-populated diligence request RFI-067.</t>
      </text>
    </comment>
    <comment ref="D75" authorId="0" shapeId="0">
      <text>
        <t>Source: Final report sections 11-15 and 16
Decision date: 20 August 2026
Context: Pre-populated diligence request RFI-067.</t>
      </text>
    </comment>
    <comment ref="E75" authorId="0" shapeId="0">
      <text>
        <t>Source: Final report sections 11-15 and 16
Decision date: 20 August 2026
Context: Pre-populated diligence request RFI-067.</t>
      </text>
    </comment>
    <comment ref="F75" authorId="0" shapeId="0">
      <text>
        <t>Source: Final report sections 11-15 and 16
Decision date: 20 August 2026
Context: Pre-populated diligence request RFI-067.</t>
      </text>
    </comment>
    <comment ref="G75" authorId="0" shapeId="0">
      <text>
        <t>Source: Final report sections 11-15 and 16
Decision date: 20 August 2026
Context: Pre-populated diligence request RFI-067.</t>
      </text>
    </comment>
    <comment ref="H75" authorId="0" shapeId="0">
      <text>
        <t>Source: Final report sections 11-15 and 16
Decision date: 20 August 2026
Context: Pre-populated diligence request RFI-067.</t>
      </text>
    </comment>
    <comment ref="I75" authorId="0" shapeId="0">
      <text>
        <t>Source: Final report sections 11-15 and 16
Decision date: 20 August 2026
Context: Pre-populated diligence request RFI-067.</t>
      </text>
    </comment>
    <comment ref="J75" authorId="0" shapeId="0">
      <text>
        <t>Source: Final report sections 11-15 and 16
Decision date: 20 August 2026
Context: Pre-populated diligence request RFI-067.</t>
      </text>
    </comment>
    <comment ref="K75" authorId="0" shapeId="0">
      <text>
        <t>Source: Final report sections 11-15 and 16
Decision date: 20 August 2026
Context: Pre-populated diligence request RFI-067.</t>
      </text>
    </comment>
    <comment ref="L75" authorId="0" shapeId="0">
      <text>
        <t>Source: Final report sections 11-15 and 16
Decision date: 20 August 2026
Context: Pre-populated diligence request RFI-067.</t>
      </text>
    </comment>
    <comment ref="M75" authorId="0" shapeId="0">
      <text>
        <t>Source: Final report sections 11-15 and 16
Decision date: 20 August 2026
Context: Pre-populated diligence request RFI-067.</t>
      </text>
    </comment>
    <comment ref="O75" authorId="0" shapeId="0">
      <text>
        <t>Source: Final report sections 11-15 and 16
Decision date: 20 August 2026
Context: Pre-populated diligence request RFI-067.</t>
      </text>
    </comment>
    <comment ref="P75" authorId="0" shapeId="0">
      <text>
        <t>Source: Final report sections 11-15 and 16
Decision date: 20 August 2026
Context: Pre-populated diligence request RFI-067.</t>
      </text>
    </comment>
    <comment ref="Q75" authorId="0" shapeId="0">
      <text>
        <t>Source: Final report sections 11-15 and 16
Decision date: 20 August 2026
Context: Pre-populated diligence request RFI-067.</t>
      </text>
    </comment>
    <comment ref="S75" authorId="0" shapeId="0">
      <text>
        <t>Source: Final report sections 11-15 and 16
Decision date: 20 August 2026
Context: Pre-populated diligence request RFI-067.</t>
      </text>
    </comment>
    <comment ref="C76" authorId="0" shapeId="0">
      <text>
        <t>Source: Final report sections 11-15 and 16
Decision date: 20 August 2026
Context: Pre-populated diligence request RFI-068.</t>
      </text>
    </comment>
    <comment ref="D76" authorId="0" shapeId="0">
      <text>
        <t>Source: Final report sections 11-15 and 16
Decision date: 20 August 2026
Context: Pre-populated diligence request RFI-068.</t>
      </text>
    </comment>
    <comment ref="E76" authorId="0" shapeId="0">
      <text>
        <t>Source: Final report sections 11-15 and 16
Decision date: 20 August 2026
Context: Pre-populated diligence request RFI-068.</t>
      </text>
    </comment>
    <comment ref="F76" authorId="0" shapeId="0">
      <text>
        <t>Source: Final report sections 11-15 and 16
Decision date: 20 August 2026
Context: Pre-populated diligence request RFI-068.</t>
      </text>
    </comment>
    <comment ref="G76" authorId="0" shapeId="0">
      <text>
        <t>Source: Final report sections 11-15 and 16
Decision date: 20 August 2026
Context: Pre-populated diligence request RFI-068.</t>
      </text>
    </comment>
    <comment ref="H76" authorId="0" shapeId="0">
      <text>
        <t>Source: Final report sections 11-15 and 16
Decision date: 20 August 2026
Context: Pre-populated diligence request RFI-068.</t>
      </text>
    </comment>
    <comment ref="I76" authorId="0" shapeId="0">
      <text>
        <t>Source: Final report sections 11-15 and 16
Decision date: 20 August 2026
Context: Pre-populated diligence request RFI-068.</t>
      </text>
    </comment>
    <comment ref="J76" authorId="0" shapeId="0">
      <text>
        <t>Source: Final report sections 11-15 and 16
Decision date: 20 August 2026
Context: Pre-populated diligence request RFI-068.</t>
      </text>
    </comment>
    <comment ref="K76" authorId="0" shapeId="0">
      <text>
        <t>Source: Final report sections 11-15 and 16
Decision date: 20 August 2026
Context: Pre-populated diligence request RFI-068.</t>
      </text>
    </comment>
    <comment ref="L76" authorId="0" shapeId="0">
      <text>
        <t>Source: Final report sections 11-15 and 16
Decision date: 20 August 2026
Context: Pre-populated diligence request RFI-068.</t>
      </text>
    </comment>
    <comment ref="M76" authorId="0" shapeId="0">
      <text>
        <t>Source: Final report sections 11-15 and 16
Decision date: 20 August 2026
Context: Pre-populated diligence request RFI-068.</t>
      </text>
    </comment>
    <comment ref="O76" authorId="0" shapeId="0">
      <text>
        <t>Source: Final report sections 11-15 and 16
Decision date: 20 August 2026
Context: Pre-populated diligence request RFI-068.</t>
      </text>
    </comment>
    <comment ref="P76" authorId="0" shapeId="0">
      <text>
        <t>Source: Final report sections 11-15 and 16
Decision date: 20 August 2026
Context: Pre-populated diligence request RFI-068.</t>
      </text>
    </comment>
    <comment ref="Q76" authorId="0" shapeId="0">
      <text>
        <t>Source: Final report sections 11-15 and 16
Decision date: 20 August 2026
Context: Pre-populated diligence request RFI-068.</t>
      </text>
    </comment>
    <comment ref="S76" authorId="0" shapeId="0">
      <text>
        <t>Source: Final report sections 11-15 and 16
Decision date: 20 August 2026
Context: Pre-populated diligence request RFI-068.</t>
      </text>
    </comment>
    <comment ref="C77" authorId="0" shapeId="0">
      <text>
        <t>Source: Final report sections 11-15 and 16
Decision date: 20 August 2026
Context: Pre-populated diligence request RFI-069.</t>
      </text>
    </comment>
    <comment ref="D77" authorId="0" shapeId="0">
      <text>
        <t>Source: Final report sections 11-15 and 16
Decision date: 20 August 2026
Context: Pre-populated diligence request RFI-069.</t>
      </text>
    </comment>
    <comment ref="E77" authorId="0" shapeId="0">
      <text>
        <t>Source: Final report sections 11-15 and 16
Decision date: 20 August 2026
Context: Pre-populated diligence request RFI-069.</t>
      </text>
    </comment>
    <comment ref="F77" authorId="0" shapeId="0">
      <text>
        <t>Source: Final report sections 11-15 and 16
Decision date: 20 August 2026
Context: Pre-populated diligence request RFI-069.</t>
      </text>
    </comment>
    <comment ref="G77" authorId="0" shapeId="0">
      <text>
        <t>Source: Final report sections 11-15 and 16
Decision date: 20 August 2026
Context: Pre-populated diligence request RFI-069.</t>
      </text>
    </comment>
    <comment ref="H77" authorId="0" shapeId="0">
      <text>
        <t>Source: Final report sections 11-15 and 16
Decision date: 20 August 2026
Context: Pre-populated diligence request RFI-069.</t>
      </text>
    </comment>
    <comment ref="I77" authorId="0" shapeId="0">
      <text>
        <t>Source: Final report sections 11-15 and 16
Decision date: 20 August 2026
Context: Pre-populated diligence request RFI-069.</t>
      </text>
    </comment>
    <comment ref="J77" authorId="0" shapeId="0">
      <text>
        <t>Source: Final report sections 11-15 and 16
Decision date: 20 August 2026
Context: Pre-populated diligence request RFI-069.</t>
      </text>
    </comment>
    <comment ref="K77" authorId="0" shapeId="0">
      <text>
        <t>Source: Final report sections 11-15 and 16
Decision date: 20 August 2026
Context: Pre-populated diligence request RFI-069.</t>
      </text>
    </comment>
    <comment ref="L77" authorId="0" shapeId="0">
      <text>
        <t>Source: Final report sections 11-15 and 16
Decision date: 20 August 2026
Context: Pre-populated diligence request RFI-069.</t>
      </text>
    </comment>
    <comment ref="M77" authorId="0" shapeId="0">
      <text>
        <t>Source: Final report sections 11-15 and 16
Decision date: 20 August 2026
Context: Pre-populated diligence request RFI-069.</t>
      </text>
    </comment>
    <comment ref="O77" authorId="0" shapeId="0">
      <text>
        <t>Source: Final report sections 11-15 and 16
Decision date: 20 August 2026
Context: Pre-populated diligence request RFI-069.</t>
      </text>
    </comment>
    <comment ref="P77" authorId="0" shapeId="0">
      <text>
        <t>Source: Final report sections 11-15 and 16
Decision date: 20 August 2026
Context: Pre-populated diligence request RFI-069.</t>
      </text>
    </comment>
    <comment ref="Q77" authorId="0" shapeId="0">
      <text>
        <t>Source: Final report sections 11-15 and 16
Decision date: 20 August 2026
Context: Pre-populated diligence request RFI-069.</t>
      </text>
    </comment>
    <comment ref="S77" authorId="0" shapeId="0">
      <text>
        <t>Source: Final report sections 11-15 and 16
Decision date: 20 August 2026
Context: Pre-populated diligence request RFI-069.</t>
      </text>
    </comment>
    <comment ref="C78" authorId="0" shapeId="0">
      <text>
        <t>Source: Final report sections 11-15 and 16
Decision date: 20 August 2026
Context: Pre-populated diligence request RFI-070.</t>
      </text>
    </comment>
    <comment ref="D78" authorId="0" shapeId="0">
      <text>
        <t>Source: Final report sections 11-15 and 16
Decision date: 20 August 2026
Context: Pre-populated diligence request RFI-070.</t>
      </text>
    </comment>
    <comment ref="E78" authorId="0" shapeId="0">
      <text>
        <t>Source: Final report sections 11-15 and 16
Decision date: 20 August 2026
Context: Pre-populated diligence request RFI-070.</t>
      </text>
    </comment>
    <comment ref="F78" authorId="0" shapeId="0">
      <text>
        <t>Source: Final report sections 11-15 and 16
Decision date: 20 August 2026
Context: Pre-populated diligence request RFI-070.</t>
      </text>
    </comment>
    <comment ref="G78" authorId="0" shapeId="0">
      <text>
        <t>Source: Final report sections 11-15 and 16
Decision date: 20 August 2026
Context: Pre-populated diligence request RFI-070.</t>
      </text>
    </comment>
    <comment ref="H78" authorId="0" shapeId="0">
      <text>
        <t>Source: Final report sections 11-15 and 16
Decision date: 20 August 2026
Context: Pre-populated diligence request RFI-070.</t>
      </text>
    </comment>
    <comment ref="I78" authorId="0" shapeId="0">
      <text>
        <t>Source: Final report sections 11-15 and 16
Decision date: 20 August 2026
Context: Pre-populated diligence request RFI-070.</t>
      </text>
    </comment>
    <comment ref="J78" authorId="0" shapeId="0">
      <text>
        <t>Source: Final report sections 11-15 and 16
Decision date: 20 August 2026
Context: Pre-populated diligence request RFI-070.</t>
      </text>
    </comment>
    <comment ref="K78" authorId="0" shapeId="0">
      <text>
        <t>Source: Final report sections 11-15 and 16
Decision date: 20 August 2026
Context: Pre-populated diligence request RFI-070.</t>
      </text>
    </comment>
    <comment ref="L78" authorId="0" shapeId="0">
      <text>
        <t>Source: Final report sections 11-15 and 16
Decision date: 20 August 2026
Context: Pre-populated diligence request RFI-070.</t>
      </text>
    </comment>
    <comment ref="M78" authorId="0" shapeId="0">
      <text>
        <t>Source: Final report sections 11-15 and 16
Decision date: 20 August 2026
Context: Pre-populated diligence request RFI-070.</t>
      </text>
    </comment>
    <comment ref="O78" authorId="0" shapeId="0">
      <text>
        <t>Source: Final report sections 11-15 and 16
Decision date: 20 August 2026
Context: Pre-populated diligence request RFI-070.</t>
      </text>
    </comment>
    <comment ref="P78" authorId="0" shapeId="0">
      <text>
        <t>Source: Final report sections 11-15 and 16
Decision date: 20 August 2026
Context: Pre-populated diligence request RFI-070.</t>
      </text>
    </comment>
    <comment ref="Q78" authorId="0" shapeId="0">
      <text>
        <t>Source: Final report sections 11-15 and 16
Decision date: 20 August 2026
Context: Pre-populated diligence request RFI-070.</t>
      </text>
    </comment>
    <comment ref="S78" authorId="0" shapeId="0">
      <text>
        <t>Source: Final report sections 11-15 and 16
Decision date: 20 August 2026
Context: Pre-populated diligence request RFI-070.</t>
      </text>
    </comment>
    <comment ref="C79" authorId="0" shapeId="0">
      <text>
        <t>Source: Final report sections 11-15 and 16
Decision date: 20 August 2026
Context: Pre-populated diligence request RFI-071.</t>
      </text>
    </comment>
    <comment ref="D79" authorId="0" shapeId="0">
      <text>
        <t>Source: Final report sections 11-15 and 16
Decision date: 20 August 2026
Context: Pre-populated diligence request RFI-071.</t>
      </text>
    </comment>
    <comment ref="E79" authorId="0" shapeId="0">
      <text>
        <t>Source: Final report sections 11-15 and 16
Decision date: 20 August 2026
Context: Pre-populated diligence request RFI-071.</t>
      </text>
    </comment>
    <comment ref="F79" authorId="0" shapeId="0">
      <text>
        <t>Source: Final report sections 11-15 and 16
Decision date: 20 August 2026
Context: Pre-populated diligence request RFI-071.</t>
      </text>
    </comment>
    <comment ref="G79" authorId="0" shapeId="0">
      <text>
        <t>Source: Final report sections 11-15 and 16
Decision date: 20 August 2026
Context: Pre-populated diligence request RFI-071.</t>
      </text>
    </comment>
    <comment ref="H79" authorId="0" shapeId="0">
      <text>
        <t>Source: Final report sections 11-15 and 16
Decision date: 20 August 2026
Context: Pre-populated diligence request RFI-071.</t>
      </text>
    </comment>
    <comment ref="I79" authorId="0" shapeId="0">
      <text>
        <t>Source: Final report sections 11-15 and 16
Decision date: 20 August 2026
Context: Pre-populated diligence request RFI-071.</t>
      </text>
    </comment>
    <comment ref="J79" authorId="0" shapeId="0">
      <text>
        <t>Source: Final report sections 11-15 and 16
Decision date: 20 August 2026
Context: Pre-populated diligence request RFI-071.</t>
      </text>
    </comment>
    <comment ref="K79" authorId="0" shapeId="0">
      <text>
        <t>Source: Final report sections 11-15 and 16
Decision date: 20 August 2026
Context: Pre-populated diligence request RFI-071.</t>
      </text>
    </comment>
    <comment ref="L79" authorId="0" shapeId="0">
      <text>
        <t>Source: Final report sections 11-15 and 16
Decision date: 20 August 2026
Context: Pre-populated diligence request RFI-071.</t>
      </text>
    </comment>
    <comment ref="M79" authorId="0" shapeId="0">
      <text>
        <t>Source: Final report sections 11-15 and 16
Decision date: 20 August 2026
Context: Pre-populated diligence request RFI-071.</t>
      </text>
    </comment>
    <comment ref="O79" authorId="0" shapeId="0">
      <text>
        <t>Source: Final report sections 11-15 and 16
Decision date: 20 August 2026
Context: Pre-populated diligence request RFI-071.</t>
      </text>
    </comment>
    <comment ref="P79" authorId="0" shapeId="0">
      <text>
        <t>Source: Final report sections 11-15 and 16
Decision date: 20 August 2026
Context: Pre-populated diligence request RFI-071.</t>
      </text>
    </comment>
    <comment ref="Q79" authorId="0" shapeId="0">
      <text>
        <t>Source: Final report sections 11-15 and 16
Decision date: 20 August 2026
Context: Pre-populated diligence request RFI-071.</t>
      </text>
    </comment>
    <comment ref="S79" authorId="0" shapeId="0">
      <text>
        <t>Source: Final report sections 11-15 and 16
Decision date: 20 August 2026
Context: Pre-populated diligence request RFI-071.</t>
      </text>
    </comment>
    <comment ref="C80" authorId="0" shapeId="0">
      <text>
        <t>Source: Final report sections 11-15 and 16
Decision date: 20 August 2026
Context: Pre-populated diligence request RFI-072.</t>
      </text>
    </comment>
    <comment ref="D80" authorId="0" shapeId="0">
      <text>
        <t>Source: Final report sections 11-15 and 16
Decision date: 20 August 2026
Context: Pre-populated diligence request RFI-072.</t>
      </text>
    </comment>
    <comment ref="E80" authorId="0" shapeId="0">
      <text>
        <t>Source: Final report sections 11-15 and 16
Decision date: 20 August 2026
Context: Pre-populated diligence request RFI-072.</t>
      </text>
    </comment>
    <comment ref="F80" authorId="0" shapeId="0">
      <text>
        <t>Source: Final report sections 11-15 and 16
Decision date: 20 August 2026
Context: Pre-populated diligence request RFI-072.</t>
      </text>
    </comment>
    <comment ref="G80" authorId="0" shapeId="0">
      <text>
        <t>Source: Final report sections 11-15 and 16
Decision date: 20 August 2026
Context: Pre-populated diligence request RFI-072.</t>
      </text>
    </comment>
    <comment ref="H80" authorId="0" shapeId="0">
      <text>
        <t>Source: Final report sections 11-15 and 16
Decision date: 20 August 2026
Context: Pre-populated diligence request RFI-072.</t>
      </text>
    </comment>
    <comment ref="I80" authorId="0" shapeId="0">
      <text>
        <t>Source: Final report sections 11-15 and 16
Decision date: 20 August 2026
Context: Pre-populated diligence request RFI-072.</t>
      </text>
    </comment>
    <comment ref="J80" authorId="0" shapeId="0">
      <text>
        <t>Source: Final report sections 11-15 and 16
Decision date: 20 August 2026
Context: Pre-populated diligence request RFI-072.</t>
      </text>
    </comment>
    <comment ref="K80" authorId="0" shapeId="0">
      <text>
        <t>Source: Final report sections 11-15 and 16
Decision date: 20 August 2026
Context: Pre-populated diligence request RFI-072.</t>
      </text>
    </comment>
    <comment ref="L80" authorId="0" shapeId="0">
      <text>
        <t>Source: Final report sections 11-15 and 16
Decision date: 20 August 2026
Context: Pre-populated diligence request RFI-072.</t>
      </text>
    </comment>
    <comment ref="M80" authorId="0" shapeId="0">
      <text>
        <t>Source: Final report sections 11-15 and 16
Decision date: 20 August 2026
Context: Pre-populated diligence request RFI-072.</t>
      </text>
    </comment>
    <comment ref="O80" authorId="0" shapeId="0">
      <text>
        <t>Source: Final report sections 11-15 and 16
Decision date: 20 August 2026
Context: Pre-populated diligence request RFI-072.</t>
      </text>
    </comment>
    <comment ref="P80" authorId="0" shapeId="0">
      <text>
        <t>Source: Final report sections 11-15 and 16
Decision date: 20 August 2026
Context: Pre-populated diligence request RFI-072.</t>
      </text>
    </comment>
    <comment ref="Q80" authorId="0" shapeId="0">
      <text>
        <t>Source: Final report sections 11-15 and 16
Decision date: 20 August 2026
Context: Pre-populated diligence request RFI-072.</t>
      </text>
    </comment>
    <comment ref="S80" authorId="0" shapeId="0">
      <text>
        <t>Source: Final report sections 11-15 and 16
Decision date: 20 August 2026
Context: Pre-populated diligence request RFI-072.</t>
      </text>
    </comment>
    <comment ref="C81" authorId="0" shapeId="0">
      <text>
        <t>Source: Final report sections 11-15 and 16
Decision date: 20 August 2026
Context: Pre-populated diligence request RFI-073.</t>
      </text>
    </comment>
    <comment ref="D81" authorId="0" shapeId="0">
      <text>
        <t>Source: Final report sections 11-15 and 16
Decision date: 20 August 2026
Context: Pre-populated diligence request RFI-073.</t>
      </text>
    </comment>
    <comment ref="E81" authorId="0" shapeId="0">
      <text>
        <t>Source: Final report sections 11-15 and 16
Decision date: 20 August 2026
Context: Pre-populated diligence request RFI-073.</t>
      </text>
    </comment>
    <comment ref="F81" authorId="0" shapeId="0">
      <text>
        <t>Source: Final report sections 11-15 and 16
Decision date: 20 August 2026
Context: Pre-populated diligence request RFI-073.</t>
      </text>
    </comment>
    <comment ref="G81" authorId="0" shapeId="0">
      <text>
        <t>Source: Final report sections 11-15 and 16
Decision date: 20 August 2026
Context: Pre-populated diligence request RFI-073.</t>
      </text>
    </comment>
    <comment ref="H81" authorId="0" shapeId="0">
      <text>
        <t>Source: Final report sections 11-15 and 16
Decision date: 20 August 2026
Context: Pre-populated diligence request RFI-073.</t>
      </text>
    </comment>
    <comment ref="I81" authorId="0" shapeId="0">
      <text>
        <t>Source: Final report sections 11-15 and 16
Decision date: 20 August 2026
Context: Pre-populated diligence request RFI-073.</t>
      </text>
    </comment>
    <comment ref="J81" authorId="0" shapeId="0">
      <text>
        <t>Source: Final report sections 11-15 and 16
Decision date: 20 August 2026
Context: Pre-populated diligence request RFI-073.</t>
      </text>
    </comment>
    <comment ref="K81" authorId="0" shapeId="0">
      <text>
        <t>Source: Final report sections 11-15 and 16
Decision date: 20 August 2026
Context: Pre-populated diligence request RFI-073.</t>
      </text>
    </comment>
    <comment ref="L81" authorId="0" shapeId="0">
      <text>
        <t>Source: Final report sections 11-15 and 16
Decision date: 20 August 2026
Context: Pre-populated diligence request RFI-073.</t>
      </text>
    </comment>
    <comment ref="M81" authorId="0" shapeId="0">
      <text>
        <t>Source: Final report sections 11-15 and 16
Decision date: 20 August 2026
Context: Pre-populated diligence request RFI-073.</t>
      </text>
    </comment>
    <comment ref="O81" authorId="0" shapeId="0">
      <text>
        <t>Source: Final report sections 11-15 and 16
Decision date: 20 August 2026
Context: Pre-populated diligence request RFI-073.</t>
      </text>
    </comment>
    <comment ref="P81" authorId="0" shapeId="0">
      <text>
        <t>Source: Final report sections 11-15 and 16
Decision date: 20 August 2026
Context: Pre-populated diligence request RFI-073.</t>
      </text>
    </comment>
    <comment ref="Q81" authorId="0" shapeId="0">
      <text>
        <t>Source: Final report sections 11-15 and 16
Decision date: 20 August 2026
Context: Pre-populated diligence request RFI-073.</t>
      </text>
    </comment>
    <comment ref="S81" authorId="0" shapeId="0">
      <text>
        <t>Source: Final report sections 11-15 and 16
Decision date: 20 August 2026
Context: Pre-populated diligence request RFI-073.</t>
      </text>
    </comment>
    <comment ref="C82" authorId="0" shapeId="0">
      <text>
        <t>Source: Final report sections 11-15 and 16
Decision date: 20 August 2026
Context: Pre-populated diligence request RFI-074.</t>
      </text>
    </comment>
    <comment ref="D82" authorId="0" shapeId="0">
      <text>
        <t>Source: Final report sections 11-15 and 16
Decision date: 20 August 2026
Context: Pre-populated diligence request RFI-074.</t>
      </text>
    </comment>
    <comment ref="E82" authorId="0" shapeId="0">
      <text>
        <t>Source: Final report sections 11-15 and 16
Decision date: 20 August 2026
Context: Pre-populated diligence request RFI-074.</t>
      </text>
    </comment>
    <comment ref="F82" authorId="0" shapeId="0">
      <text>
        <t>Source: Final report sections 11-15 and 16
Decision date: 20 August 2026
Context: Pre-populated diligence request RFI-074.</t>
      </text>
    </comment>
    <comment ref="G82" authorId="0" shapeId="0">
      <text>
        <t>Source: Final report sections 11-15 and 16
Decision date: 20 August 2026
Context: Pre-populated diligence request RFI-074.</t>
      </text>
    </comment>
    <comment ref="H82" authorId="0" shapeId="0">
      <text>
        <t>Source: Final report sections 11-15 and 16
Decision date: 20 August 2026
Context: Pre-populated diligence request RFI-074.</t>
      </text>
    </comment>
    <comment ref="I82" authorId="0" shapeId="0">
      <text>
        <t>Source: Final report sections 11-15 and 16
Decision date: 20 August 2026
Context: Pre-populated diligence request RFI-074.</t>
      </text>
    </comment>
    <comment ref="J82" authorId="0" shapeId="0">
      <text>
        <t>Source: Final report sections 11-15 and 16
Decision date: 20 August 2026
Context: Pre-populated diligence request RFI-074.</t>
      </text>
    </comment>
    <comment ref="K82" authorId="0" shapeId="0">
      <text>
        <t>Source: Final report sections 11-15 and 16
Decision date: 20 August 2026
Context: Pre-populated diligence request RFI-074.</t>
      </text>
    </comment>
    <comment ref="L82" authorId="0" shapeId="0">
      <text>
        <t>Source: Final report sections 11-15 and 16
Decision date: 20 August 2026
Context: Pre-populated diligence request RFI-074.</t>
      </text>
    </comment>
    <comment ref="M82" authorId="0" shapeId="0">
      <text>
        <t>Source: Final report sections 11-15 and 16
Decision date: 20 August 2026
Context: Pre-populated diligence request RFI-074.</t>
      </text>
    </comment>
    <comment ref="O82" authorId="0" shapeId="0">
      <text>
        <t>Source: Final report sections 11-15 and 16
Decision date: 20 August 2026
Context: Pre-populated diligence request RFI-074.</t>
      </text>
    </comment>
    <comment ref="P82" authorId="0" shapeId="0">
      <text>
        <t>Source: Final report sections 11-15 and 16
Decision date: 20 August 2026
Context: Pre-populated diligence request RFI-074.</t>
      </text>
    </comment>
    <comment ref="Q82" authorId="0" shapeId="0">
      <text>
        <t>Source: Final report sections 11-15 and 16
Decision date: 20 August 2026
Context: Pre-populated diligence request RFI-074.</t>
      </text>
    </comment>
    <comment ref="S82" authorId="0" shapeId="0">
      <text>
        <t>Source: Final report sections 11-15 and 16
Decision date: 20 August 2026
Context: Pre-populated diligence request RFI-074.</t>
      </text>
    </comment>
    <comment ref="C83" authorId="0" shapeId="0">
      <text>
        <t>Source: Final report sections 11-15 and 16
Decision date: 20 August 2026
Context: Pre-populated diligence request RFI-075.</t>
      </text>
    </comment>
    <comment ref="D83" authorId="0" shapeId="0">
      <text>
        <t>Source: Final report sections 11-15 and 16
Decision date: 20 August 2026
Context: Pre-populated diligence request RFI-075.</t>
      </text>
    </comment>
    <comment ref="E83" authorId="0" shapeId="0">
      <text>
        <t>Source: Final report sections 11-15 and 16
Decision date: 20 August 2026
Context: Pre-populated diligence request RFI-075.</t>
      </text>
    </comment>
    <comment ref="F83" authorId="0" shapeId="0">
      <text>
        <t>Source: Final report sections 11-15 and 16
Decision date: 20 August 2026
Context: Pre-populated diligence request RFI-075.</t>
      </text>
    </comment>
    <comment ref="G83" authorId="0" shapeId="0">
      <text>
        <t>Source: Final report sections 11-15 and 16
Decision date: 20 August 2026
Context: Pre-populated diligence request RFI-075.</t>
      </text>
    </comment>
    <comment ref="H83" authorId="0" shapeId="0">
      <text>
        <t>Source: Final report sections 11-15 and 16
Decision date: 20 August 2026
Context: Pre-populated diligence request RFI-075.</t>
      </text>
    </comment>
    <comment ref="I83" authorId="0" shapeId="0">
      <text>
        <t>Source: Final report sections 11-15 and 16
Decision date: 20 August 2026
Context: Pre-populated diligence request RFI-075.</t>
      </text>
    </comment>
    <comment ref="J83" authorId="0" shapeId="0">
      <text>
        <t>Source: Final report sections 11-15 and 16
Decision date: 20 August 2026
Context: Pre-populated diligence request RFI-075.</t>
      </text>
    </comment>
    <comment ref="K83" authorId="0" shapeId="0">
      <text>
        <t>Source: Final report sections 11-15 and 16
Decision date: 20 August 2026
Context: Pre-populated diligence request RFI-075.</t>
      </text>
    </comment>
    <comment ref="L83" authorId="0" shapeId="0">
      <text>
        <t>Source: Final report sections 11-15 and 16
Decision date: 20 August 2026
Context: Pre-populated diligence request RFI-075.</t>
      </text>
    </comment>
    <comment ref="M83" authorId="0" shapeId="0">
      <text>
        <t>Source: Final report sections 11-15 and 16
Decision date: 20 August 2026
Context: Pre-populated diligence request RFI-075.</t>
      </text>
    </comment>
    <comment ref="O83" authorId="0" shapeId="0">
      <text>
        <t>Source: Final report sections 11-15 and 16
Decision date: 20 August 2026
Context: Pre-populated diligence request RFI-075.</t>
      </text>
    </comment>
    <comment ref="P83" authorId="0" shapeId="0">
      <text>
        <t>Source: Final report sections 11-15 and 16
Decision date: 20 August 2026
Context: Pre-populated diligence request RFI-075.</t>
      </text>
    </comment>
    <comment ref="Q83" authorId="0" shapeId="0">
      <text>
        <t>Source: Final report sections 11-15 and 16
Decision date: 20 August 2026
Context: Pre-populated diligence request RFI-075.</t>
      </text>
    </comment>
    <comment ref="S83" authorId="0" shapeId="0">
      <text>
        <t>Source: Final report sections 11-15 and 16
Decision date: 20 August 2026
Context: Pre-populated diligence request RFI-075.</t>
      </text>
    </comment>
    <comment ref="C84" authorId="0" shapeId="0">
      <text>
        <t>Source: Final report sections 11-15 and 16
Decision date: 20 August 2026
Context: Pre-populated diligence request RFI-076.</t>
      </text>
    </comment>
    <comment ref="D84" authorId="0" shapeId="0">
      <text>
        <t>Source: Final report sections 11-15 and 16
Decision date: 20 August 2026
Context: Pre-populated diligence request RFI-076.</t>
      </text>
    </comment>
    <comment ref="E84" authorId="0" shapeId="0">
      <text>
        <t>Source: Final report sections 11-15 and 16
Decision date: 20 August 2026
Context: Pre-populated diligence request RFI-076.</t>
      </text>
    </comment>
    <comment ref="F84" authorId="0" shapeId="0">
      <text>
        <t>Source: Final report sections 11-15 and 16
Decision date: 20 August 2026
Context: Pre-populated diligence request RFI-076.</t>
      </text>
    </comment>
    <comment ref="G84" authorId="0" shapeId="0">
      <text>
        <t>Source: Final report sections 11-15 and 16
Decision date: 20 August 2026
Context: Pre-populated diligence request RFI-076.</t>
      </text>
    </comment>
    <comment ref="H84" authorId="0" shapeId="0">
      <text>
        <t>Source: Final report sections 11-15 and 16
Decision date: 20 August 2026
Context: Pre-populated diligence request RFI-076.</t>
      </text>
    </comment>
    <comment ref="I84" authorId="0" shapeId="0">
      <text>
        <t>Source: Final report sections 11-15 and 16
Decision date: 20 August 2026
Context: Pre-populated diligence request RFI-076.</t>
      </text>
    </comment>
    <comment ref="J84" authorId="0" shapeId="0">
      <text>
        <t>Source: Final report sections 11-15 and 16
Decision date: 20 August 2026
Context: Pre-populated diligence request RFI-076.</t>
      </text>
    </comment>
    <comment ref="K84" authorId="0" shapeId="0">
      <text>
        <t>Source: Final report sections 11-15 and 16
Decision date: 20 August 2026
Context: Pre-populated diligence request RFI-076.</t>
      </text>
    </comment>
    <comment ref="L84" authorId="0" shapeId="0">
      <text>
        <t>Source: Final report sections 11-15 and 16
Decision date: 20 August 2026
Context: Pre-populated diligence request RFI-076.</t>
      </text>
    </comment>
    <comment ref="M84" authorId="0" shapeId="0">
      <text>
        <t>Source: Final report sections 11-15 and 16
Decision date: 20 August 2026
Context: Pre-populated diligence request RFI-076.</t>
      </text>
    </comment>
    <comment ref="O84" authorId="0" shapeId="0">
      <text>
        <t>Source: Final report sections 11-15 and 16
Decision date: 20 August 2026
Context: Pre-populated diligence request RFI-076.</t>
      </text>
    </comment>
    <comment ref="P84" authorId="0" shapeId="0">
      <text>
        <t>Source: Final report sections 11-15 and 16
Decision date: 20 August 2026
Context: Pre-populated diligence request RFI-076.</t>
      </text>
    </comment>
    <comment ref="Q84" authorId="0" shapeId="0">
      <text>
        <t>Source: Final report sections 11-15 and 16
Decision date: 20 August 2026
Context: Pre-populated diligence request RFI-076.</t>
      </text>
    </comment>
    <comment ref="S84" authorId="0" shapeId="0">
      <text>
        <t>Source: Final report sections 11-15 and 16
Decision date: 20 August 2026
Context: Pre-populated diligence request RFI-076.</t>
      </text>
    </comment>
    <comment ref="C85" authorId="0" shapeId="0">
      <text>
        <t>Source: Final report sections 11-15 and 16
Decision date: 20 August 2026
Context: Pre-populated diligence request RFI-077.</t>
      </text>
    </comment>
    <comment ref="D85" authorId="0" shapeId="0">
      <text>
        <t>Source: Final report sections 11-15 and 16
Decision date: 20 August 2026
Context: Pre-populated diligence request RFI-077.</t>
      </text>
    </comment>
    <comment ref="E85" authorId="0" shapeId="0">
      <text>
        <t>Source: Final report sections 11-15 and 16
Decision date: 20 August 2026
Context: Pre-populated diligence request RFI-077.</t>
      </text>
    </comment>
    <comment ref="F85" authorId="0" shapeId="0">
      <text>
        <t>Source: Final report sections 11-15 and 16
Decision date: 20 August 2026
Context: Pre-populated diligence request RFI-077.</t>
      </text>
    </comment>
    <comment ref="G85" authorId="0" shapeId="0">
      <text>
        <t>Source: Final report sections 11-15 and 16
Decision date: 20 August 2026
Context: Pre-populated diligence request RFI-077.</t>
      </text>
    </comment>
    <comment ref="H85" authorId="0" shapeId="0">
      <text>
        <t>Source: Final report sections 11-15 and 16
Decision date: 20 August 2026
Context: Pre-populated diligence request RFI-077.</t>
      </text>
    </comment>
    <comment ref="I85" authorId="0" shapeId="0">
      <text>
        <t>Source: Final report sections 11-15 and 16
Decision date: 20 August 2026
Context: Pre-populated diligence request RFI-077.</t>
      </text>
    </comment>
    <comment ref="J85" authorId="0" shapeId="0">
      <text>
        <t>Source: Final report sections 11-15 and 16
Decision date: 20 August 2026
Context: Pre-populated diligence request RFI-077.</t>
      </text>
    </comment>
    <comment ref="K85" authorId="0" shapeId="0">
      <text>
        <t>Source: Final report sections 11-15 and 16
Decision date: 20 August 2026
Context: Pre-populated diligence request RFI-077.</t>
      </text>
    </comment>
    <comment ref="L85" authorId="0" shapeId="0">
      <text>
        <t>Source: Final report sections 11-15 and 16
Decision date: 20 August 2026
Context: Pre-populated diligence request RFI-077.</t>
      </text>
    </comment>
    <comment ref="M85" authorId="0" shapeId="0">
      <text>
        <t>Source: Final report sections 11-15 and 16
Decision date: 20 August 2026
Context: Pre-populated diligence request RFI-077.</t>
      </text>
    </comment>
    <comment ref="O85" authorId="0" shapeId="0">
      <text>
        <t>Source: Final report sections 11-15 and 16
Decision date: 20 August 2026
Context: Pre-populated diligence request RFI-077.</t>
      </text>
    </comment>
    <comment ref="P85" authorId="0" shapeId="0">
      <text>
        <t>Source: Final report sections 11-15 and 16
Decision date: 20 August 2026
Context: Pre-populated diligence request RFI-077.</t>
      </text>
    </comment>
    <comment ref="Q85" authorId="0" shapeId="0">
      <text>
        <t>Source: Final report sections 11-15 and 16
Decision date: 20 August 2026
Context: Pre-populated diligence request RFI-077.</t>
      </text>
    </comment>
    <comment ref="S85" authorId="0" shapeId="0">
      <text>
        <t>Source: Final report sections 11-15 and 16
Decision date: 20 August 2026
Context: Pre-populated diligence request RFI-077.</t>
      </text>
    </comment>
    <comment ref="C86" authorId="0" shapeId="0">
      <text>
        <t>Source: Final report sections 11-15 and 16
Decision date: 20 August 2026
Context: Pre-populated diligence request RFI-078.</t>
      </text>
    </comment>
    <comment ref="D86" authorId="0" shapeId="0">
      <text>
        <t>Source: Final report sections 11-15 and 16
Decision date: 20 August 2026
Context: Pre-populated diligence request RFI-078.</t>
      </text>
    </comment>
    <comment ref="E86" authorId="0" shapeId="0">
      <text>
        <t>Source: Final report sections 11-15 and 16
Decision date: 20 August 2026
Context: Pre-populated diligence request RFI-078.</t>
      </text>
    </comment>
    <comment ref="F86" authorId="0" shapeId="0">
      <text>
        <t>Source: Final report sections 11-15 and 16
Decision date: 20 August 2026
Context: Pre-populated diligence request RFI-078.</t>
      </text>
    </comment>
    <comment ref="G86" authorId="0" shapeId="0">
      <text>
        <t>Source: Final report sections 11-15 and 16
Decision date: 20 August 2026
Context: Pre-populated diligence request RFI-078.</t>
      </text>
    </comment>
    <comment ref="H86" authorId="0" shapeId="0">
      <text>
        <t>Source: Final report sections 11-15 and 16
Decision date: 20 August 2026
Context: Pre-populated diligence request RFI-078.</t>
      </text>
    </comment>
    <comment ref="I86" authorId="0" shapeId="0">
      <text>
        <t>Source: Final report sections 11-15 and 16
Decision date: 20 August 2026
Context: Pre-populated diligence request RFI-078.</t>
      </text>
    </comment>
    <comment ref="J86" authorId="0" shapeId="0">
      <text>
        <t>Source: Final report sections 11-15 and 16
Decision date: 20 August 2026
Context: Pre-populated diligence request RFI-078.</t>
      </text>
    </comment>
    <comment ref="K86" authorId="0" shapeId="0">
      <text>
        <t>Source: Final report sections 11-15 and 16
Decision date: 20 August 2026
Context: Pre-populated diligence request RFI-078.</t>
      </text>
    </comment>
    <comment ref="L86" authorId="0" shapeId="0">
      <text>
        <t>Source: Final report sections 11-15 and 16
Decision date: 20 August 2026
Context: Pre-populated diligence request RFI-078.</t>
      </text>
    </comment>
    <comment ref="M86" authorId="0" shapeId="0">
      <text>
        <t>Source: Final report sections 11-15 and 16
Decision date: 20 August 2026
Context: Pre-populated diligence request RFI-078.</t>
      </text>
    </comment>
    <comment ref="O86" authorId="0" shapeId="0">
      <text>
        <t>Source: Final report sections 11-15 and 16
Decision date: 20 August 2026
Context: Pre-populated diligence request RFI-078.</t>
      </text>
    </comment>
    <comment ref="P86" authorId="0" shapeId="0">
      <text>
        <t>Source: Final report sections 11-15 and 16
Decision date: 20 August 2026
Context: Pre-populated diligence request RFI-078.</t>
      </text>
    </comment>
    <comment ref="Q86" authorId="0" shapeId="0">
      <text>
        <t>Source: Final report sections 11-15 and 16
Decision date: 20 August 2026
Context: Pre-populated diligence request RFI-078.</t>
      </text>
    </comment>
    <comment ref="S86" authorId="0" shapeId="0">
      <text>
        <t>Source: Final report sections 11-15 and 16
Decision date: 20 August 2026
Context: Pre-populated diligence request RFI-078.</t>
      </text>
    </comment>
  </commentList>
</comments>
</file>

<file path=xl/comments/comment5.xml><?xml version="1.0" encoding="utf-8"?>
<comments xmlns="http://schemas.openxmlformats.org/spreadsheetml/2006/main">
  <authors>
    <author>Manus</author>
  </authors>
  <commentList>
    <comment ref="C9" authorId="0" shapeId="0">
      <text>
        <t>Source: Final report section 12
Decision date: 20 August 2026
Context: Qualification phase 1.</t>
      </text>
    </comment>
    <comment ref="D9" authorId="0" shapeId="0">
      <text>
        <t>Source: Final report section 12
Decision date: 20 August 2026
Context: Qualification phase 1.</t>
      </text>
    </comment>
    <comment ref="E9" authorId="0" shapeId="0">
      <text>
        <t>Source: Final report section 12
Decision date: 20 August 2026
Context: Qualification phase 1.</t>
      </text>
    </comment>
    <comment ref="F9" authorId="0" shapeId="0">
      <text>
        <t>Source: Final report section 12
Decision date: 20 August 2026
Context: Qualification phase 1.</t>
      </text>
    </comment>
    <comment ref="G9" authorId="0" shapeId="0">
      <text>
        <t>Source: Final report section 12
Decision date: 20 August 2026
Context: Qualification phase 1.</t>
      </text>
    </comment>
    <comment ref="H9" authorId="0" shapeId="0">
      <text>
        <t>Source: Final report section 12
Decision date: 20 August 2026
Context: Qualification phase 1.</t>
      </text>
    </comment>
    <comment ref="I9" authorId="0" shapeId="0">
      <text>
        <t>Source: Final report section 12
Decision date: 20 August 2026
Context: Qualification phase 1.</t>
      </text>
    </comment>
    <comment ref="J9" authorId="0" shapeId="0">
      <text>
        <t>Source: User-controlled diligence field
Decision date: 20 August 2026
Context: Editable phase status.</t>
      </text>
    </comment>
    <comment ref="K9" authorId="0" shapeId="0">
      <text>
        <t>Source: User-controlled diligence field
Decision date: 20 August 2026
Context: Editable target date.</t>
      </text>
    </comment>
    <comment ref="L9" authorId="0" shapeId="0">
      <text>
        <t>Source: User-controlled diligence field
Decision date: 20 August 2026
Context: Editable actual date.</t>
      </text>
    </comment>
    <comment ref="M9" authorId="0" shapeId="0">
      <text>
        <t>Source: User-controlled diligence field
Decision date: 20 August 2026
Context: Editable decision note.</t>
      </text>
    </comment>
    <comment ref="C10" authorId="0" shapeId="0">
      <text>
        <t>Source: Final report section 12
Decision date: 20 August 2026
Context: Qualification phase 2.</t>
      </text>
    </comment>
    <comment ref="D10" authorId="0" shapeId="0">
      <text>
        <t>Source: Final report section 12
Decision date: 20 August 2026
Context: Qualification phase 2.</t>
      </text>
    </comment>
    <comment ref="E10" authorId="0" shapeId="0">
      <text>
        <t>Source: Final report section 12
Decision date: 20 August 2026
Context: Qualification phase 2.</t>
      </text>
    </comment>
    <comment ref="F10" authorId="0" shapeId="0">
      <text>
        <t>Source: Final report section 12
Decision date: 20 August 2026
Context: Qualification phase 2.</t>
      </text>
    </comment>
    <comment ref="G10" authorId="0" shapeId="0">
      <text>
        <t>Source: Final report section 12
Decision date: 20 August 2026
Context: Qualification phase 2.</t>
      </text>
    </comment>
    <comment ref="H10" authorId="0" shapeId="0">
      <text>
        <t>Source: Final report section 12
Decision date: 20 August 2026
Context: Qualification phase 2.</t>
      </text>
    </comment>
    <comment ref="I10" authorId="0" shapeId="0">
      <text>
        <t>Source: Final report section 12
Decision date: 20 August 2026
Context: Qualification phase 2.</t>
      </text>
    </comment>
    <comment ref="J10" authorId="0" shapeId="0">
      <text>
        <t>Source: User-controlled diligence field
Decision date: 20 August 2026
Context: Editable phase status.</t>
      </text>
    </comment>
    <comment ref="K10" authorId="0" shapeId="0">
      <text>
        <t>Source: User-controlled diligence field
Decision date: 20 August 2026
Context: Editable target date.</t>
      </text>
    </comment>
    <comment ref="L10" authorId="0" shapeId="0">
      <text>
        <t>Source: User-controlled diligence field
Decision date: 20 August 2026
Context: Editable actual date.</t>
      </text>
    </comment>
    <comment ref="M10" authorId="0" shapeId="0">
      <text>
        <t>Source: User-controlled diligence field
Decision date: 20 August 2026
Context: Editable decision note.</t>
      </text>
    </comment>
    <comment ref="C11" authorId="0" shapeId="0">
      <text>
        <t>Source: Final report section 12
Decision date: 20 August 2026
Context: Qualification phase 3.</t>
      </text>
    </comment>
    <comment ref="D11" authorId="0" shapeId="0">
      <text>
        <t>Source: Final report section 12
Decision date: 20 August 2026
Context: Qualification phase 3.</t>
      </text>
    </comment>
    <comment ref="E11" authorId="0" shapeId="0">
      <text>
        <t>Source: Final report section 12
Decision date: 20 August 2026
Context: Qualification phase 3.</t>
      </text>
    </comment>
    <comment ref="F11" authorId="0" shapeId="0">
      <text>
        <t>Source: Final report section 12
Decision date: 20 August 2026
Context: Qualification phase 3.</t>
      </text>
    </comment>
    <comment ref="G11" authorId="0" shapeId="0">
      <text>
        <t>Source: Final report section 12
Decision date: 20 August 2026
Context: Qualification phase 3.</t>
      </text>
    </comment>
    <comment ref="H11" authorId="0" shapeId="0">
      <text>
        <t>Source: Final report section 12
Decision date: 20 August 2026
Context: Qualification phase 3.</t>
      </text>
    </comment>
    <comment ref="I11" authorId="0" shapeId="0">
      <text>
        <t>Source: Final report section 12
Decision date: 20 August 2026
Context: Qualification phase 3.</t>
      </text>
    </comment>
    <comment ref="J11" authorId="0" shapeId="0">
      <text>
        <t>Source: User-controlled diligence field
Decision date: 20 August 2026
Context: Editable phase status.</t>
      </text>
    </comment>
    <comment ref="K11" authorId="0" shapeId="0">
      <text>
        <t>Source: User-controlled diligence field
Decision date: 20 August 2026
Context: Editable target date.</t>
      </text>
    </comment>
    <comment ref="L11" authorId="0" shapeId="0">
      <text>
        <t>Source: User-controlled diligence field
Decision date: 20 August 2026
Context: Editable actual date.</t>
      </text>
    </comment>
    <comment ref="M11" authorId="0" shapeId="0">
      <text>
        <t>Source: User-controlled diligence field
Decision date: 20 August 2026
Context: Editable decision note.</t>
      </text>
    </comment>
    <comment ref="C12" authorId="0" shapeId="0">
      <text>
        <t>Source: Final report section 12
Decision date: 20 August 2026
Context: Qualification phase 4.</t>
      </text>
    </comment>
    <comment ref="D12" authorId="0" shapeId="0">
      <text>
        <t>Source: Final report section 12
Decision date: 20 August 2026
Context: Qualification phase 4.</t>
      </text>
    </comment>
    <comment ref="E12" authorId="0" shapeId="0">
      <text>
        <t>Source: Final report section 12
Decision date: 20 August 2026
Context: Qualification phase 4.</t>
      </text>
    </comment>
    <comment ref="F12" authorId="0" shapeId="0">
      <text>
        <t>Source: Final report section 12
Decision date: 20 August 2026
Context: Qualification phase 4.</t>
      </text>
    </comment>
    <comment ref="G12" authorId="0" shapeId="0">
      <text>
        <t>Source: Final report section 12
Decision date: 20 August 2026
Context: Qualification phase 4.</t>
      </text>
    </comment>
    <comment ref="H12" authorId="0" shapeId="0">
      <text>
        <t>Source: Final report section 12
Decision date: 20 August 2026
Context: Qualification phase 4.</t>
      </text>
    </comment>
    <comment ref="I12" authorId="0" shapeId="0">
      <text>
        <t>Source: Final report section 12
Decision date: 20 August 2026
Context: Qualification phase 4.</t>
      </text>
    </comment>
    <comment ref="J12" authorId="0" shapeId="0">
      <text>
        <t>Source: User-controlled diligence field
Decision date: 20 August 2026
Context: Editable phase status.</t>
      </text>
    </comment>
    <comment ref="K12" authorId="0" shapeId="0">
      <text>
        <t>Source: User-controlled diligence field
Decision date: 20 August 2026
Context: Editable target date.</t>
      </text>
    </comment>
    <comment ref="L12" authorId="0" shapeId="0">
      <text>
        <t>Source: User-controlled diligence field
Decision date: 20 August 2026
Context: Editable actual date.</t>
      </text>
    </comment>
    <comment ref="M12" authorId="0" shapeId="0">
      <text>
        <t>Source: User-controlled diligence field
Decision date: 20 August 2026
Context: Editable decision note.</t>
      </text>
    </comment>
    <comment ref="C13" authorId="0" shapeId="0">
      <text>
        <t>Source: Final report section 12
Decision date: 20 August 2026
Context: Qualification phase 5.</t>
      </text>
    </comment>
    <comment ref="D13" authorId="0" shapeId="0">
      <text>
        <t>Source: Final report section 12
Decision date: 20 August 2026
Context: Qualification phase 5.</t>
      </text>
    </comment>
    <comment ref="E13" authorId="0" shapeId="0">
      <text>
        <t>Source: Final report section 12
Decision date: 20 August 2026
Context: Qualification phase 5.</t>
      </text>
    </comment>
    <comment ref="F13" authorId="0" shapeId="0">
      <text>
        <t>Source: Final report section 12
Decision date: 20 August 2026
Context: Qualification phase 5.</t>
      </text>
    </comment>
    <comment ref="G13" authorId="0" shapeId="0">
      <text>
        <t>Source: Final report section 12
Decision date: 20 August 2026
Context: Qualification phase 5.</t>
      </text>
    </comment>
    <comment ref="H13" authorId="0" shapeId="0">
      <text>
        <t>Source: Final report section 12
Decision date: 20 August 2026
Context: Qualification phase 5.</t>
      </text>
    </comment>
    <comment ref="I13" authorId="0" shapeId="0">
      <text>
        <t>Source: Final report section 12
Decision date: 20 August 2026
Context: Qualification phase 5.</t>
      </text>
    </comment>
    <comment ref="J13" authorId="0" shapeId="0">
      <text>
        <t>Source: User-controlled diligence field
Decision date: 20 August 2026
Context: Editable phase status.</t>
      </text>
    </comment>
    <comment ref="K13" authorId="0" shapeId="0">
      <text>
        <t>Source: User-controlled diligence field
Decision date: 20 August 2026
Context: Editable target date.</t>
      </text>
    </comment>
    <comment ref="L13" authorId="0" shapeId="0">
      <text>
        <t>Source: User-controlled diligence field
Decision date: 20 August 2026
Context: Editable actual date.</t>
      </text>
    </comment>
    <comment ref="M13" authorId="0" shapeId="0">
      <text>
        <t>Source: User-controlled diligence field
Decision date: 20 August 2026
Context: Editable decision note.</t>
      </text>
    </comment>
    <comment ref="C14" authorId="0" shapeId="0">
      <text>
        <t>Source: Final report section 12
Decision date: 20 August 2026
Context: Qualification phase 6.</t>
      </text>
    </comment>
    <comment ref="D14" authorId="0" shapeId="0">
      <text>
        <t>Source: Final report section 12
Decision date: 20 August 2026
Context: Qualification phase 6.</t>
      </text>
    </comment>
    <comment ref="E14" authorId="0" shapeId="0">
      <text>
        <t>Source: Final report section 12
Decision date: 20 August 2026
Context: Qualification phase 6.</t>
      </text>
    </comment>
    <comment ref="F14" authorId="0" shapeId="0">
      <text>
        <t>Source: Final report section 12
Decision date: 20 August 2026
Context: Qualification phase 6.</t>
      </text>
    </comment>
    <comment ref="G14" authorId="0" shapeId="0">
      <text>
        <t>Source: Final report section 12
Decision date: 20 August 2026
Context: Qualification phase 6.</t>
      </text>
    </comment>
    <comment ref="H14" authorId="0" shapeId="0">
      <text>
        <t>Source: Final report section 12
Decision date: 20 August 2026
Context: Qualification phase 6.</t>
      </text>
    </comment>
    <comment ref="I14" authorId="0" shapeId="0">
      <text>
        <t>Source: Final report section 12
Decision date: 20 August 2026
Context: Qualification phase 6.</t>
      </text>
    </comment>
    <comment ref="J14" authorId="0" shapeId="0">
      <text>
        <t>Source: User-controlled diligence field
Decision date: 20 August 2026
Context: Editable phase status.</t>
      </text>
    </comment>
    <comment ref="K14" authorId="0" shapeId="0">
      <text>
        <t>Source: User-controlled diligence field
Decision date: 20 August 2026
Context: Editable target date.</t>
      </text>
    </comment>
    <comment ref="L14" authorId="0" shapeId="0">
      <text>
        <t>Source: User-controlled diligence field
Decision date: 20 August 2026
Context: Editable actual date.</t>
      </text>
    </comment>
    <comment ref="M14" authorId="0" shapeId="0">
      <text>
        <t>Source: User-controlled diligence field
Decision date: 20 August 2026
Context: Editable decision note.</t>
      </text>
    </comment>
    <comment ref="C15" authorId="0" shapeId="0">
      <text>
        <t>Source: Final report section 12
Decision date: 20 August 2026
Context: Qualification phase 7.</t>
      </text>
    </comment>
    <comment ref="D15" authorId="0" shapeId="0">
      <text>
        <t>Source: Final report section 12
Decision date: 20 August 2026
Context: Qualification phase 7.</t>
      </text>
    </comment>
    <comment ref="E15" authorId="0" shapeId="0">
      <text>
        <t>Source: Final report section 12
Decision date: 20 August 2026
Context: Qualification phase 7.</t>
      </text>
    </comment>
    <comment ref="F15" authorId="0" shapeId="0">
      <text>
        <t>Source: Final report section 12
Decision date: 20 August 2026
Context: Qualification phase 7.</t>
      </text>
    </comment>
    <comment ref="G15" authorId="0" shapeId="0">
      <text>
        <t>Source: Final report section 12
Decision date: 20 August 2026
Context: Qualification phase 7.</t>
      </text>
    </comment>
    <comment ref="H15" authorId="0" shapeId="0">
      <text>
        <t>Source: Final report section 12
Decision date: 20 August 2026
Context: Qualification phase 7.</t>
      </text>
    </comment>
    <comment ref="I15" authorId="0" shapeId="0">
      <text>
        <t>Source: Final report section 12
Decision date: 20 August 2026
Context: Qualification phase 7.</t>
      </text>
    </comment>
    <comment ref="J15" authorId="0" shapeId="0">
      <text>
        <t>Source: User-controlled diligence field
Decision date: 20 August 2026
Context: Editable phase status.</t>
      </text>
    </comment>
    <comment ref="K15" authorId="0" shapeId="0">
      <text>
        <t>Source: User-controlled diligence field
Decision date: 20 August 2026
Context: Editable target date.</t>
      </text>
    </comment>
    <comment ref="L15" authorId="0" shapeId="0">
      <text>
        <t>Source: User-controlled diligence field
Decision date: 20 August 2026
Context: Editable actual date.</t>
      </text>
    </comment>
    <comment ref="M15" authorId="0" shapeId="0">
      <text>
        <t>Source: User-controlled diligence field
Decision date: 20 August 2026
Context: Editable decision note.</t>
      </text>
    </comment>
    <comment ref="C16" authorId="0" shapeId="0">
      <text>
        <t>Source: Final report section 12
Decision date: 20 August 2026
Context: Qualification phase 8.</t>
      </text>
    </comment>
    <comment ref="D16" authorId="0" shapeId="0">
      <text>
        <t>Source: Final report section 12
Decision date: 20 August 2026
Context: Qualification phase 8.</t>
      </text>
    </comment>
    <comment ref="E16" authorId="0" shapeId="0">
      <text>
        <t>Source: Final report section 12
Decision date: 20 August 2026
Context: Qualification phase 8.</t>
      </text>
    </comment>
    <comment ref="F16" authorId="0" shapeId="0">
      <text>
        <t>Source: Final report section 12
Decision date: 20 August 2026
Context: Qualification phase 8.</t>
      </text>
    </comment>
    <comment ref="G16" authorId="0" shapeId="0">
      <text>
        <t>Source: Final report section 12
Decision date: 20 August 2026
Context: Qualification phase 8.</t>
      </text>
    </comment>
    <comment ref="H16" authorId="0" shapeId="0">
      <text>
        <t>Source: Final report section 12
Decision date: 20 August 2026
Context: Qualification phase 8.</t>
      </text>
    </comment>
    <comment ref="I16" authorId="0" shapeId="0">
      <text>
        <t>Source: Final report section 12
Decision date: 20 August 2026
Context: Qualification phase 8.</t>
      </text>
    </comment>
    <comment ref="J16" authorId="0" shapeId="0">
      <text>
        <t>Source: User-controlled diligence field
Decision date: 20 August 2026
Context: Editable phase status.</t>
      </text>
    </comment>
    <comment ref="K16" authorId="0" shapeId="0">
      <text>
        <t>Source: User-controlled diligence field
Decision date: 20 August 2026
Context: Editable target date.</t>
      </text>
    </comment>
    <comment ref="L16" authorId="0" shapeId="0">
      <text>
        <t>Source: User-controlled diligence field
Decision date: 20 August 2026
Context: Editable actual date.</t>
      </text>
    </comment>
    <comment ref="M16" authorId="0" shapeId="0">
      <text>
        <t>Source: User-controlled diligence field
Decision date: 20 August 2026
Context: Editable decision note.</t>
      </text>
    </comment>
    <comment ref="C22" authorId="0" shapeId="0">
      <text>
        <t>Source: Final report section 12
Decision date: 20 August 2026
Context: Risk-based audit sampling.</t>
      </text>
    </comment>
    <comment ref="D22" authorId="0" shapeId="0">
      <text>
        <t>Source: Final report section 12
Decision date: 20 August 2026
Context: Risk-based audit sampling.</t>
      </text>
    </comment>
    <comment ref="C23" authorId="0" shapeId="0">
      <text>
        <t>Source: Final report section 12
Decision date: 20 August 2026
Context: Risk-based audit sampling.</t>
      </text>
    </comment>
    <comment ref="D23" authorId="0" shapeId="0">
      <text>
        <t>Source: Final report section 12
Decision date: 20 August 2026
Context: Risk-based audit sampling.</t>
      </text>
    </comment>
    <comment ref="C24" authorId="0" shapeId="0">
      <text>
        <t>Source: Final report section 12
Decision date: 20 August 2026
Context: Risk-based audit sampling.</t>
      </text>
    </comment>
    <comment ref="D24" authorId="0" shapeId="0">
      <text>
        <t>Source: Final report section 12
Decision date: 20 August 2026
Context: Risk-based audit sampling.</t>
      </text>
    </comment>
    <comment ref="C25" authorId="0" shapeId="0">
      <text>
        <t>Source: Final report section 12
Decision date: 20 August 2026
Context: Risk-based audit sampling.</t>
      </text>
    </comment>
    <comment ref="D25" authorId="0" shapeId="0">
      <text>
        <t>Source: Final report section 12
Decision date: 20 August 2026
Context: Risk-based audit sampling.</t>
      </text>
    </comment>
    <comment ref="C26" authorId="0" shapeId="0">
      <text>
        <t>Source: Final report section 12
Decision date: 20 August 2026
Context: Risk-based audit sampling.</t>
      </text>
    </comment>
    <comment ref="D26" authorId="0" shapeId="0">
      <text>
        <t>Source: Final report section 12
Decision date: 20 August 2026
Context: Risk-based audit sampling.</t>
      </text>
    </comment>
    <comment ref="C27" authorId="0" shapeId="0">
      <text>
        <t>Source: Final report section 12
Decision date: 20 August 2026
Context: Risk-based audit sampling.</t>
      </text>
    </comment>
    <comment ref="D27" authorId="0" shapeId="0">
      <text>
        <t>Source: Final report section 12
Decision date: 20 August 2026
Context: Risk-based audit sampling.</t>
      </text>
    </comment>
    <comment ref="C28" authorId="0" shapeId="0">
      <text>
        <t>Source: Final report section 12
Decision date: 20 August 2026
Context: Risk-based audit sampling.</t>
      </text>
    </comment>
    <comment ref="D28" authorId="0" shapeId="0">
      <text>
        <t>Source: Final report section 12
Decision date: 20 August 2026
Context: Risk-based audit sampling.</t>
      </text>
    </comment>
  </commentList>
</comments>
</file>

<file path=xl/comments/comment6.xml><?xml version="1.0" encoding="utf-8"?>
<comments xmlns="http://schemas.openxmlformats.org/spreadsheetml/2006/main">
  <authors>
    <author>Manus</author>
  </authors>
  <commentList>
    <comment ref="C9" authorId="0" shapeId="0">
      <text>
        <t>Source: Final report sections 6, 9, 13 and 16
Decision date: 20 August 2026
Context: Risk register item R-001.</t>
      </text>
    </comment>
    <comment ref="D9" authorId="0" shapeId="0">
      <text>
        <t>Source: Final report sections 6, 9, 13 and 16
Decision date: 20 August 2026
Context: Risk register item R-001.</t>
      </text>
    </comment>
    <comment ref="E9" authorId="0" shapeId="0">
      <text>
        <t>Source: Final report sections 6, 9, 13 and 16
Decision date: 20 August 2026
Context: Risk register item R-001.</t>
      </text>
    </comment>
    <comment ref="F9" authorId="0" shapeId="0">
      <text>
        <t>Source: Final report sections 6, 9, 13 and 16
Decision date: 20 August 2026
Context: Risk register item R-001.</t>
      </text>
    </comment>
    <comment ref="G9" authorId="0" shapeId="0">
      <text>
        <t>Source: Final report sections 6, 9, 13 and 16
Decision date: 20 August 2026
Context: Risk register item R-001.</t>
      </text>
    </comment>
    <comment ref="H9" authorId="0" shapeId="0">
      <text>
        <t>Source: Final report sections 6, 9, 13 and 16
Decision date: 20 August 2026
Context: Risk register item R-001.</t>
      </text>
    </comment>
    <comment ref="I9" authorId="0" shapeId="0">
      <text>
        <t>Source: Final report sections 6, 9, 13 and 16
Decision date: 20 August 2026
Context: Risk register item R-001.</t>
      </text>
    </comment>
    <comment ref="J9" authorId="0" shapeId="0">
      <text>
        <t>Source: Final report sections 6, 9, 13 and 16
Decision date: 20 August 2026
Context: Risk register item R-001.</t>
      </text>
    </comment>
    <comment ref="K9" authorId="0" shapeId="0">
      <text>
        <t>Source: Final report sections 6, 9, 13 and 16
Decision date: 20 August 2026
Context: Risk register item R-001.</t>
      </text>
    </comment>
    <comment ref="L9" authorId="0" shapeId="0">
      <text>
        <t>Source: Final report sections 6, 9, 13 and 16
Decision date: 20 August 2026
Context: Risk register item R-001.</t>
      </text>
    </comment>
    <comment ref="M9" authorId="0" shapeId="0">
      <text>
        <t>Source: User-controlled diligence field
Decision date: 20 August 2026
Context: Editable target date.</t>
      </text>
    </comment>
    <comment ref="N9" authorId="0" shapeId="0">
      <text>
        <t>Source: User-controlled diligence field
Decision date: 20 August 2026
Context: Editable closure note.</t>
      </text>
    </comment>
    <comment ref="C10" authorId="0" shapeId="0">
      <text>
        <t>Source: Final report sections 6, 9, 13 and 16
Decision date: 20 August 2026
Context: Risk register item R-002.</t>
      </text>
    </comment>
    <comment ref="D10" authorId="0" shapeId="0">
      <text>
        <t>Source: Final report sections 6, 9, 13 and 16
Decision date: 20 August 2026
Context: Risk register item R-002.</t>
      </text>
    </comment>
    <comment ref="E10" authorId="0" shapeId="0">
      <text>
        <t>Source: Final report sections 6, 9, 13 and 16
Decision date: 20 August 2026
Context: Risk register item R-002.</t>
      </text>
    </comment>
    <comment ref="F10" authorId="0" shapeId="0">
      <text>
        <t>Source: Final report sections 6, 9, 13 and 16
Decision date: 20 August 2026
Context: Risk register item R-002.</t>
      </text>
    </comment>
    <comment ref="G10" authorId="0" shapeId="0">
      <text>
        <t>Source: Final report sections 6, 9, 13 and 16
Decision date: 20 August 2026
Context: Risk register item R-002.</t>
      </text>
    </comment>
    <comment ref="H10" authorId="0" shapeId="0">
      <text>
        <t>Source: Final report sections 6, 9, 13 and 16
Decision date: 20 August 2026
Context: Risk register item R-002.</t>
      </text>
    </comment>
    <comment ref="I10" authorId="0" shapeId="0">
      <text>
        <t>Source: Final report sections 6, 9, 13 and 16
Decision date: 20 August 2026
Context: Risk register item R-002.</t>
      </text>
    </comment>
    <comment ref="J10" authorId="0" shapeId="0">
      <text>
        <t>Source: Final report sections 6, 9, 13 and 16
Decision date: 20 August 2026
Context: Risk register item R-002.</t>
      </text>
    </comment>
    <comment ref="K10" authorId="0" shapeId="0">
      <text>
        <t>Source: Final report sections 6, 9, 13 and 16
Decision date: 20 August 2026
Context: Risk register item R-002.</t>
      </text>
    </comment>
    <comment ref="L10" authorId="0" shapeId="0">
      <text>
        <t>Source: Final report sections 6, 9, 13 and 16
Decision date: 20 August 2026
Context: Risk register item R-002.</t>
      </text>
    </comment>
    <comment ref="M10" authorId="0" shapeId="0">
      <text>
        <t>Source: User-controlled diligence field
Decision date: 20 August 2026
Context: Editable target date.</t>
      </text>
    </comment>
    <comment ref="N10" authorId="0" shapeId="0">
      <text>
        <t>Source: User-controlled diligence field
Decision date: 20 August 2026
Context: Editable closure note.</t>
      </text>
    </comment>
    <comment ref="C11" authorId="0" shapeId="0">
      <text>
        <t>Source: Final report sections 6, 9, 13 and 16
Decision date: 20 August 2026
Context: Risk register item R-003.</t>
      </text>
    </comment>
    <comment ref="D11" authorId="0" shapeId="0">
      <text>
        <t>Source: Final report sections 6, 9, 13 and 16
Decision date: 20 August 2026
Context: Risk register item R-003.</t>
      </text>
    </comment>
    <comment ref="E11" authorId="0" shapeId="0">
      <text>
        <t>Source: Final report sections 6, 9, 13 and 16
Decision date: 20 August 2026
Context: Risk register item R-003.</t>
      </text>
    </comment>
    <comment ref="F11" authorId="0" shapeId="0">
      <text>
        <t>Source: Final report sections 6, 9, 13 and 16
Decision date: 20 August 2026
Context: Risk register item R-003.</t>
      </text>
    </comment>
    <comment ref="G11" authorId="0" shapeId="0">
      <text>
        <t>Source: Final report sections 6, 9, 13 and 16
Decision date: 20 August 2026
Context: Risk register item R-003.</t>
      </text>
    </comment>
    <comment ref="H11" authorId="0" shapeId="0">
      <text>
        <t>Source: Final report sections 6, 9, 13 and 16
Decision date: 20 August 2026
Context: Risk register item R-003.</t>
      </text>
    </comment>
    <comment ref="I11" authorId="0" shapeId="0">
      <text>
        <t>Source: Final report sections 6, 9, 13 and 16
Decision date: 20 August 2026
Context: Risk register item R-003.</t>
      </text>
    </comment>
    <comment ref="J11" authorId="0" shapeId="0">
      <text>
        <t>Source: Final report sections 6, 9, 13 and 16
Decision date: 20 August 2026
Context: Risk register item R-003.</t>
      </text>
    </comment>
    <comment ref="K11" authorId="0" shapeId="0">
      <text>
        <t>Source: Final report sections 6, 9, 13 and 16
Decision date: 20 August 2026
Context: Risk register item R-003.</t>
      </text>
    </comment>
    <comment ref="L11" authorId="0" shapeId="0">
      <text>
        <t>Source: Final report sections 6, 9, 13 and 16
Decision date: 20 August 2026
Context: Risk register item R-003.</t>
      </text>
    </comment>
    <comment ref="M11" authorId="0" shapeId="0">
      <text>
        <t>Source: User-controlled diligence field
Decision date: 20 August 2026
Context: Editable target date.</t>
      </text>
    </comment>
    <comment ref="N11" authorId="0" shapeId="0">
      <text>
        <t>Source: User-controlled diligence field
Decision date: 20 August 2026
Context: Editable closure note.</t>
      </text>
    </comment>
    <comment ref="C12" authorId="0" shapeId="0">
      <text>
        <t>Source: Final report sections 6, 9, 13 and 16
Decision date: 20 August 2026
Context: Risk register item R-004.</t>
      </text>
    </comment>
    <comment ref="D12" authorId="0" shapeId="0">
      <text>
        <t>Source: Final report sections 6, 9, 13 and 16
Decision date: 20 August 2026
Context: Risk register item R-004.</t>
      </text>
    </comment>
    <comment ref="E12" authorId="0" shapeId="0">
      <text>
        <t>Source: Final report sections 6, 9, 13 and 16
Decision date: 20 August 2026
Context: Risk register item R-004.</t>
      </text>
    </comment>
    <comment ref="F12" authorId="0" shapeId="0">
      <text>
        <t>Source: Final report sections 6, 9, 13 and 16
Decision date: 20 August 2026
Context: Risk register item R-004.</t>
      </text>
    </comment>
    <comment ref="G12" authorId="0" shapeId="0">
      <text>
        <t>Source: Final report sections 6, 9, 13 and 16
Decision date: 20 August 2026
Context: Risk register item R-004.</t>
      </text>
    </comment>
    <comment ref="H12" authorId="0" shapeId="0">
      <text>
        <t>Source: Final report sections 6, 9, 13 and 16
Decision date: 20 August 2026
Context: Risk register item R-004.</t>
      </text>
    </comment>
    <comment ref="I12" authorId="0" shapeId="0">
      <text>
        <t>Source: Final report sections 6, 9, 13 and 16
Decision date: 20 August 2026
Context: Risk register item R-004.</t>
      </text>
    </comment>
    <comment ref="J12" authorId="0" shapeId="0">
      <text>
        <t>Source: Final report sections 6, 9, 13 and 16
Decision date: 20 August 2026
Context: Risk register item R-004.</t>
      </text>
    </comment>
    <comment ref="K12" authorId="0" shapeId="0">
      <text>
        <t>Source: Final report sections 6, 9, 13 and 16
Decision date: 20 August 2026
Context: Risk register item R-004.</t>
      </text>
    </comment>
    <comment ref="L12" authorId="0" shapeId="0">
      <text>
        <t>Source: Final report sections 6, 9, 13 and 16
Decision date: 20 August 2026
Context: Risk register item R-004.</t>
      </text>
    </comment>
    <comment ref="M12" authorId="0" shapeId="0">
      <text>
        <t>Source: User-controlled diligence field
Decision date: 20 August 2026
Context: Editable target date.</t>
      </text>
    </comment>
    <comment ref="N12" authorId="0" shapeId="0">
      <text>
        <t>Source: User-controlled diligence field
Decision date: 20 August 2026
Context: Editable closure note.</t>
      </text>
    </comment>
    <comment ref="C13" authorId="0" shapeId="0">
      <text>
        <t>Source: Final report sections 6, 9, 13 and 16
Decision date: 20 August 2026
Context: Risk register item R-005.</t>
      </text>
    </comment>
    <comment ref="D13" authorId="0" shapeId="0">
      <text>
        <t>Source: Final report sections 6, 9, 13 and 16
Decision date: 20 August 2026
Context: Risk register item R-005.</t>
      </text>
    </comment>
    <comment ref="E13" authorId="0" shapeId="0">
      <text>
        <t>Source: Final report sections 6, 9, 13 and 16
Decision date: 20 August 2026
Context: Risk register item R-005.</t>
      </text>
    </comment>
    <comment ref="F13" authorId="0" shapeId="0">
      <text>
        <t>Source: Final report sections 6, 9, 13 and 16
Decision date: 20 August 2026
Context: Risk register item R-005.</t>
      </text>
    </comment>
    <comment ref="G13" authorId="0" shapeId="0">
      <text>
        <t>Source: Final report sections 6, 9, 13 and 16
Decision date: 20 August 2026
Context: Risk register item R-005.</t>
      </text>
    </comment>
    <comment ref="H13" authorId="0" shapeId="0">
      <text>
        <t>Source: Final report sections 6, 9, 13 and 16
Decision date: 20 August 2026
Context: Risk register item R-005.</t>
      </text>
    </comment>
    <comment ref="I13" authorId="0" shapeId="0">
      <text>
        <t>Source: Final report sections 6, 9, 13 and 16
Decision date: 20 August 2026
Context: Risk register item R-005.</t>
      </text>
    </comment>
    <comment ref="J13" authorId="0" shapeId="0">
      <text>
        <t>Source: Final report sections 6, 9, 13 and 16
Decision date: 20 August 2026
Context: Risk register item R-005.</t>
      </text>
    </comment>
    <comment ref="K13" authorId="0" shapeId="0">
      <text>
        <t>Source: Final report sections 6, 9, 13 and 16
Decision date: 20 August 2026
Context: Risk register item R-005.</t>
      </text>
    </comment>
    <comment ref="L13" authorId="0" shapeId="0">
      <text>
        <t>Source: Final report sections 6, 9, 13 and 16
Decision date: 20 August 2026
Context: Risk register item R-005.</t>
      </text>
    </comment>
    <comment ref="M13" authorId="0" shapeId="0">
      <text>
        <t>Source: User-controlled diligence field
Decision date: 20 August 2026
Context: Editable target date.</t>
      </text>
    </comment>
    <comment ref="N13" authorId="0" shapeId="0">
      <text>
        <t>Source: User-controlled diligence field
Decision date: 20 August 2026
Context: Editable closure note.</t>
      </text>
    </comment>
    <comment ref="C14" authorId="0" shapeId="0">
      <text>
        <t>Source: Final report sections 6, 9, 13 and 16
Decision date: 20 August 2026
Context: Risk register item R-006.</t>
      </text>
    </comment>
    <comment ref="D14" authorId="0" shapeId="0">
      <text>
        <t>Source: Final report sections 6, 9, 13 and 16
Decision date: 20 August 2026
Context: Risk register item R-006.</t>
      </text>
    </comment>
    <comment ref="E14" authorId="0" shapeId="0">
      <text>
        <t>Source: Final report sections 6, 9, 13 and 16
Decision date: 20 August 2026
Context: Risk register item R-006.</t>
      </text>
    </comment>
    <comment ref="F14" authorId="0" shapeId="0">
      <text>
        <t>Source: Final report sections 6, 9, 13 and 16
Decision date: 20 August 2026
Context: Risk register item R-006.</t>
      </text>
    </comment>
    <comment ref="G14" authorId="0" shapeId="0">
      <text>
        <t>Source: Final report sections 6, 9, 13 and 16
Decision date: 20 August 2026
Context: Risk register item R-006.</t>
      </text>
    </comment>
    <comment ref="H14" authorId="0" shapeId="0">
      <text>
        <t>Source: Final report sections 6, 9, 13 and 16
Decision date: 20 August 2026
Context: Risk register item R-006.</t>
      </text>
    </comment>
    <comment ref="I14" authorId="0" shapeId="0">
      <text>
        <t>Source: Final report sections 6, 9, 13 and 16
Decision date: 20 August 2026
Context: Risk register item R-006.</t>
      </text>
    </comment>
    <comment ref="J14" authorId="0" shapeId="0">
      <text>
        <t>Source: Final report sections 6, 9, 13 and 16
Decision date: 20 August 2026
Context: Risk register item R-006.</t>
      </text>
    </comment>
    <comment ref="K14" authorId="0" shapeId="0">
      <text>
        <t>Source: Final report sections 6, 9, 13 and 16
Decision date: 20 August 2026
Context: Risk register item R-006.</t>
      </text>
    </comment>
    <comment ref="L14" authorId="0" shapeId="0">
      <text>
        <t>Source: Final report sections 6, 9, 13 and 16
Decision date: 20 August 2026
Context: Risk register item R-006.</t>
      </text>
    </comment>
    <comment ref="M14" authorId="0" shapeId="0">
      <text>
        <t>Source: User-controlled diligence field
Decision date: 20 August 2026
Context: Editable target date.</t>
      </text>
    </comment>
    <comment ref="N14" authorId="0" shapeId="0">
      <text>
        <t>Source: User-controlled diligence field
Decision date: 20 August 2026
Context: Editable closure note.</t>
      </text>
    </comment>
    <comment ref="C15" authorId="0" shapeId="0">
      <text>
        <t>Source: Final report sections 6, 9, 13 and 16
Decision date: 20 August 2026
Context: Risk register item R-007.</t>
      </text>
    </comment>
    <comment ref="D15" authorId="0" shapeId="0">
      <text>
        <t>Source: Final report sections 6, 9, 13 and 16
Decision date: 20 August 2026
Context: Risk register item R-007.</t>
      </text>
    </comment>
    <comment ref="E15" authorId="0" shapeId="0">
      <text>
        <t>Source: Final report sections 6, 9, 13 and 16
Decision date: 20 August 2026
Context: Risk register item R-007.</t>
      </text>
    </comment>
    <comment ref="F15" authorId="0" shapeId="0">
      <text>
        <t>Source: Final report sections 6, 9, 13 and 16
Decision date: 20 August 2026
Context: Risk register item R-007.</t>
      </text>
    </comment>
    <comment ref="G15" authorId="0" shapeId="0">
      <text>
        <t>Source: Final report sections 6, 9, 13 and 16
Decision date: 20 August 2026
Context: Risk register item R-007.</t>
      </text>
    </comment>
    <comment ref="H15" authorId="0" shapeId="0">
      <text>
        <t>Source: Final report sections 6, 9, 13 and 16
Decision date: 20 August 2026
Context: Risk register item R-007.</t>
      </text>
    </comment>
    <comment ref="I15" authorId="0" shapeId="0">
      <text>
        <t>Source: Final report sections 6, 9, 13 and 16
Decision date: 20 August 2026
Context: Risk register item R-007.</t>
      </text>
    </comment>
    <comment ref="J15" authorId="0" shapeId="0">
      <text>
        <t>Source: Final report sections 6, 9, 13 and 16
Decision date: 20 August 2026
Context: Risk register item R-007.</t>
      </text>
    </comment>
    <comment ref="K15" authorId="0" shapeId="0">
      <text>
        <t>Source: Final report sections 6, 9, 13 and 16
Decision date: 20 August 2026
Context: Risk register item R-007.</t>
      </text>
    </comment>
    <comment ref="L15" authorId="0" shapeId="0">
      <text>
        <t>Source: Final report sections 6, 9, 13 and 16
Decision date: 20 August 2026
Context: Risk register item R-007.</t>
      </text>
    </comment>
    <comment ref="M15" authorId="0" shapeId="0">
      <text>
        <t>Source: User-controlled diligence field
Decision date: 20 August 2026
Context: Editable target date.</t>
      </text>
    </comment>
    <comment ref="N15" authorId="0" shapeId="0">
      <text>
        <t>Source: User-controlled diligence field
Decision date: 20 August 2026
Context: Editable closure note.</t>
      </text>
    </comment>
    <comment ref="C16" authorId="0" shapeId="0">
      <text>
        <t>Source: Final report sections 6, 9, 13 and 16
Decision date: 20 August 2026
Context: Risk register item R-008.</t>
      </text>
    </comment>
    <comment ref="D16" authorId="0" shapeId="0">
      <text>
        <t>Source: Final report sections 6, 9, 13 and 16
Decision date: 20 August 2026
Context: Risk register item R-008.</t>
      </text>
    </comment>
    <comment ref="E16" authorId="0" shapeId="0">
      <text>
        <t>Source: Final report sections 6, 9, 13 and 16
Decision date: 20 August 2026
Context: Risk register item R-008.</t>
      </text>
    </comment>
    <comment ref="F16" authorId="0" shapeId="0">
      <text>
        <t>Source: Final report sections 6, 9, 13 and 16
Decision date: 20 August 2026
Context: Risk register item R-008.</t>
      </text>
    </comment>
    <comment ref="G16" authorId="0" shapeId="0">
      <text>
        <t>Source: Final report sections 6, 9, 13 and 16
Decision date: 20 August 2026
Context: Risk register item R-008.</t>
      </text>
    </comment>
    <comment ref="H16" authorId="0" shapeId="0">
      <text>
        <t>Source: Final report sections 6, 9, 13 and 16
Decision date: 20 August 2026
Context: Risk register item R-008.</t>
      </text>
    </comment>
    <comment ref="I16" authorId="0" shapeId="0">
      <text>
        <t>Source: Final report sections 6, 9, 13 and 16
Decision date: 20 August 2026
Context: Risk register item R-008.</t>
      </text>
    </comment>
    <comment ref="J16" authorId="0" shapeId="0">
      <text>
        <t>Source: Final report sections 6, 9, 13 and 16
Decision date: 20 August 2026
Context: Risk register item R-008.</t>
      </text>
    </comment>
    <comment ref="K16" authorId="0" shapeId="0">
      <text>
        <t>Source: Final report sections 6, 9, 13 and 16
Decision date: 20 August 2026
Context: Risk register item R-008.</t>
      </text>
    </comment>
    <comment ref="L16" authorId="0" shapeId="0">
      <text>
        <t>Source: Final report sections 6, 9, 13 and 16
Decision date: 20 August 2026
Context: Risk register item R-008.</t>
      </text>
    </comment>
    <comment ref="M16" authorId="0" shapeId="0">
      <text>
        <t>Source: User-controlled diligence field
Decision date: 20 August 2026
Context: Editable target date.</t>
      </text>
    </comment>
    <comment ref="N16" authorId="0" shapeId="0">
      <text>
        <t>Source: User-controlled diligence field
Decision date: 20 August 2026
Context: Editable closure note.</t>
      </text>
    </comment>
    <comment ref="C17" authorId="0" shapeId="0">
      <text>
        <t>Source: Final report sections 6, 9, 13 and 16
Decision date: 20 August 2026
Context: Risk register item R-009.</t>
      </text>
    </comment>
    <comment ref="D17" authorId="0" shapeId="0">
      <text>
        <t>Source: Final report sections 6, 9, 13 and 16
Decision date: 20 August 2026
Context: Risk register item R-009.</t>
      </text>
    </comment>
    <comment ref="E17" authorId="0" shapeId="0">
      <text>
        <t>Source: Final report sections 6, 9, 13 and 16
Decision date: 20 August 2026
Context: Risk register item R-009.</t>
      </text>
    </comment>
    <comment ref="F17" authorId="0" shapeId="0">
      <text>
        <t>Source: Final report sections 6, 9, 13 and 16
Decision date: 20 August 2026
Context: Risk register item R-009.</t>
      </text>
    </comment>
    <comment ref="G17" authorId="0" shapeId="0">
      <text>
        <t>Source: Final report sections 6, 9, 13 and 16
Decision date: 20 August 2026
Context: Risk register item R-009.</t>
      </text>
    </comment>
    <comment ref="H17" authorId="0" shapeId="0">
      <text>
        <t>Source: Final report sections 6, 9, 13 and 16
Decision date: 20 August 2026
Context: Risk register item R-009.</t>
      </text>
    </comment>
    <comment ref="I17" authorId="0" shapeId="0">
      <text>
        <t>Source: Final report sections 6, 9, 13 and 16
Decision date: 20 August 2026
Context: Risk register item R-009.</t>
      </text>
    </comment>
    <comment ref="J17" authorId="0" shapeId="0">
      <text>
        <t>Source: Final report sections 6, 9, 13 and 16
Decision date: 20 August 2026
Context: Risk register item R-009.</t>
      </text>
    </comment>
    <comment ref="K17" authorId="0" shapeId="0">
      <text>
        <t>Source: Final report sections 6, 9, 13 and 16
Decision date: 20 August 2026
Context: Risk register item R-009.</t>
      </text>
    </comment>
    <comment ref="L17" authorId="0" shapeId="0">
      <text>
        <t>Source: Final report sections 6, 9, 13 and 16
Decision date: 20 August 2026
Context: Risk register item R-009.</t>
      </text>
    </comment>
    <comment ref="M17" authorId="0" shapeId="0">
      <text>
        <t>Source: User-controlled diligence field
Decision date: 20 August 2026
Context: Editable target date.</t>
      </text>
    </comment>
    <comment ref="N17" authorId="0" shapeId="0">
      <text>
        <t>Source: User-controlled diligence field
Decision date: 20 August 2026
Context: Editable closure note.</t>
      </text>
    </comment>
    <comment ref="C18" authorId="0" shapeId="0">
      <text>
        <t>Source: Final report sections 6, 9, 13 and 16
Decision date: 20 August 2026
Context: Risk register item R-010.</t>
      </text>
    </comment>
    <comment ref="D18" authorId="0" shapeId="0">
      <text>
        <t>Source: Final report sections 6, 9, 13 and 16
Decision date: 20 August 2026
Context: Risk register item R-010.</t>
      </text>
    </comment>
    <comment ref="E18" authorId="0" shapeId="0">
      <text>
        <t>Source: Final report sections 6, 9, 13 and 16
Decision date: 20 August 2026
Context: Risk register item R-010.</t>
      </text>
    </comment>
    <comment ref="F18" authorId="0" shapeId="0">
      <text>
        <t>Source: Final report sections 6, 9, 13 and 16
Decision date: 20 August 2026
Context: Risk register item R-010.</t>
      </text>
    </comment>
    <comment ref="G18" authorId="0" shapeId="0">
      <text>
        <t>Source: Final report sections 6, 9, 13 and 16
Decision date: 20 August 2026
Context: Risk register item R-010.</t>
      </text>
    </comment>
    <comment ref="H18" authorId="0" shapeId="0">
      <text>
        <t>Source: Final report sections 6, 9, 13 and 16
Decision date: 20 August 2026
Context: Risk register item R-010.</t>
      </text>
    </comment>
    <comment ref="I18" authorId="0" shapeId="0">
      <text>
        <t>Source: Final report sections 6, 9, 13 and 16
Decision date: 20 August 2026
Context: Risk register item R-010.</t>
      </text>
    </comment>
    <comment ref="J18" authorId="0" shapeId="0">
      <text>
        <t>Source: Final report sections 6, 9, 13 and 16
Decision date: 20 August 2026
Context: Risk register item R-010.</t>
      </text>
    </comment>
    <comment ref="K18" authorId="0" shapeId="0">
      <text>
        <t>Source: Final report sections 6, 9, 13 and 16
Decision date: 20 August 2026
Context: Risk register item R-010.</t>
      </text>
    </comment>
    <comment ref="L18" authorId="0" shapeId="0">
      <text>
        <t>Source: Final report sections 6, 9, 13 and 16
Decision date: 20 August 2026
Context: Risk register item R-010.</t>
      </text>
    </comment>
    <comment ref="M18" authorId="0" shapeId="0">
      <text>
        <t>Source: User-controlled diligence field
Decision date: 20 August 2026
Context: Editable target date.</t>
      </text>
    </comment>
    <comment ref="N18" authorId="0" shapeId="0">
      <text>
        <t>Source: User-controlled diligence field
Decision date: 20 August 2026
Context: Editable closure note.</t>
      </text>
    </comment>
    <comment ref="C19" authorId="0" shapeId="0">
      <text>
        <t>Source: Final report sections 6, 9, 13 and 16
Decision date: 20 August 2026
Context: Risk register item R-011.</t>
      </text>
    </comment>
    <comment ref="D19" authorId="0" shapeId="0">
      <text>
        <t>Source: Final report sections 6, 9, 13 and 16
Decision date: 20 August 2026
Context: Risk register item R-011.</t>
      </text>
    </comment>
    <comment ref="E19" authorId="0" shapeId="0">
      <text>
        <t>Source: Final report sections 6, 9, 13 and 16
Decision date: 20 August 2026
Context: Risk register item R-011.</t>
      </text>
    </comment>
    <comment ref="F19" authorId="0" shapeId="0">
      <text>
        <t>Source: Final report sections 6, 9, 13 and 16
Decision date: 20 August 2026
Context: Risk register item R-011.</t>
      </text>
    </comment>
    <comment ref="G19" authorId="0" shapeId="0">
      <text>
        <t>Source: Final report sections 6, 9, 13 and 16
Decision date: 20 August 2026
Context: Risk register item R-011.</t>
      </text>
    </comment>
    <comment ref="H19" authorId="0" shapeId="0">
      <text>
        <t>Source: Final report sections 6, 9, 13 and 16
Decision date: 20 August 2026
Context: Risk register item R-011.</t>
      </text>
    </comment>
    <comment ref="I19" authorId="0" shapeId="0">
      <text>
        <t>Source: Final report sections 6, 9, 13 and 16
Decision date: 20 August 2026
Context: Risk register item R-011.</t>
      </text>
    </comment>
    <comment ref="J19" authorId="0" shapeId="0">
      <text>
        <t>Source: Final report sections 6, 9, 13 and 16
Decision date: 20 August 2026
Context: Risk register item R-011.</t>
      </text>
    </comment>
    <comment ref="K19" authorId="0" shapeId="0">
      <text>
        <t>Source: Final report sections 6, 9, 13 and 16
Decision date: 20 August 2026
Context: Risk register item R-011.</t>
      </text>
    </comment>
    <comment ref="L19" authorId="0" shapeId="0">
      <text>
        <t>Source: Final report sections 6, 9, 13 and 16
Decision date: 20 August 2026
Context: Risk register item R-011.</t>
      </text>
    </comment>
    <comment ref="M19" authorId="0" shapeId="0">
      <text>
        <t>Source: User-controlled diligence field
Decision date: 20 August 2026
Context: Editable target date.</t>
      </text>
    </comment>
    <comment ref="N19" authorId="0" shapeId="0">
      <text>
        <t>Source: User-controlled diligence field
Decision date: 20 August 2026
Context: Editable closure note.</t>
      </text>
    </comment>
    <comment ref="C20" authorId="0" shapeId="0">
      <text>
        <t>Source: Final report sections 6, 9, 13 and 16
Decision date: 20 August 2026
Context: Risk register item R-012.</t>
      </text>
    </comment>
    <comment ref="D20" authorId="0" shapeId="0">
      <text>
        <t>Source: Final report sections 6, 9, 13 and 16
Decision date: 20 August 2026
Context: Risk register item R-012.</t>
      </text>
    </comment>
    <comment ref="E20" authorId="0" shapeId="0">
      <text>
        <t>Source: Final report sections 6, 9, 13 and 16
Decision date: 20 August 2026
Context: Risk register item R-012.</t>
      </text>
    </comment>
    <comment ref="F20" authorId="0" shapeId="0">
      <text>
        <t>Source: Final report sections 6, 9, 13 and 16
Decision date: 20 August 2026
Context: Risk register item R-012.</t>
      </text>
    </comment>
    <comment ref="G20" authorId="0" shapeId="0">
      <text>
        <t>Source: Final report sections 6, 9, 13 and 16
Decision date: 20 August 2026
Context: Risk register item R-012.</t>
      </text>
    </comment>
    <comment ref="H20" authorId="0" shapeId="0">
      <text>
        <t>Source: Final report sections 6, 9, 13 and 16
Decision date: 20 August 2026
Context: Risk register item R-012.</t>
      </text>
    </comment>
    <comment ref="I20" authorId="0" shapeId="0">
      <text>
        <t>Source: Final report sections 6, 9, 13 and 16
Decision date: 20 August 2026
Context: Risk register item R-012.</t>
      </text>
    </comment>
    <comment ref="J20" authorId="0" shapeId="0">
      <text>
        <t>Source: Final report sections 6, 9, 13 and 16
Decision date: 20 August 2026
Context: Risk register item R-012.</t>
      </text>
    </comment>
    <comment ref="K20" authorId="0" shapeId="0">
      <text>
        <t>Source: Final report sections 6, 9, 13 and 16
Decision date: 20 August 2026
Context: Risk register item R-012.</t>
      </text>
    </comment>
    <comment ref="L20" authorId="0" shapeId="0">
      <text>
        <t>Source: Final report sections 6, 9, 13 and 16
Decision date: 20 August 2026
Context: Risk register item R-012.</t>
      </text>
    </comment>
    <comment ref="M20" authorId="0" shapeId="0">
      <text>
        <t>Source: User-controlled diligence field
Decision date: 20 August 2026
Context: Editable target date.</t>
      </text>
    </comment>
    <comment ref="N20" authorId="0" shapeId="0">
      <text>
        <t>Source: User-controlled diligence field
Decision date: 20 August 2026
Context: Editable closure note.</t>
      </text>
    </comment>
    <comment ref="C21" authorId="0" shapeId="0">
      <text>
        <t>Source: Final report sections 6, 9, 13 and 16
Decision date: 20 August 2026
Context: Risk register item R-013.</t>
      </text>
    </comment>
    <comment ref="D21" authorId="0" shapeId="0">
      <text>
        <t>Source: Final report sections 6, 9, 13 and 16
Decision date: 20 August 2026
Context: Risk register item R-013.</t>
      </text>
    </comment>
    <comment ref="E21" authorId="0" shapeId="0">
      <text>
        <t>Source: Final report sections 6, 9, 13 and 16
Decision date: 20 August 2026
Context: Risk register item R-013.</t>
      </text>
    </comment>
    <comment ref="F21" authorId="0" shapeId="0">
      <text>
        <t>Source: Final report sections 6, 9, 13 and 16
Decision date: 20 August 2026
Context: Risk register item R-013.</t>
      </text>
    </comment>
    <comment ref="G21" authorId="0" shapeId="0">
      <text>
        <t>Source: Final report sections 6, 9, 13 and 16
Decision date: 20 August 2026
Context: Risk register item R-013.</t>
      </text>
    </comment>
    <comment ref="H21" authorId="0" shapeId="0">
      <text>
        <t>Source: Final report sections 6, 9, 13 and 16
Decision date: 20 August 2026
Context: Risk register item R-013.</t>
      </text>
    </comment>
    <comment ref="I21" authorId="0" shapeId="0">
      <text>
        <t>Source: Final report sections 6, 9, 13 and 16
Decision date: 20 August 2026
Context: Risk register item R-013.</t>
      </text>
    </comment>
    <comment ref="J21" authorId="0" shapeId="0">
      <text>
        <t>Source: Final report sections 6, 9, 13 and 16
Decision date: 20 August 2026
Context: Risk register item R-013.</t>
      </text>
    </comment>
    <comment ref="K21" authorId="0" shapeId="0">
      <text>
        <t>Source: Final report sections 6, 9, 13 and 16
Decision date: 20 August 2026
Context: Risk register item R-013.</t>
      </text>
    </comment>
    <comment ref="L21" authorId="0" shapeId="0">
      <text>
        <t>Source: Final report sections 6, 9, 13 and 16
Decision date: 20 August 2026
Context: Risk register item R-013.</t>
      </text>
    </comment>
    <comment ref="M21" authorId="0" shapeId="0">
      <text>
        <t>Source: User-controlled diligence field
Decision date: 20 August 2026
Context: Editable target date.</t>
      </text>
    </comment>
    <comment ref="N21" authorId="0" shapeId="0">
      <text>
        <t>Source: User-controlled diligence field
Decision date: 20 August 2026
Context: Editable closure note.</t>
      </text>
    </comment>
    <comment ref="C22" authorId="0" shapeId="0">
      <text>
        <t>Source: Final report sections 6, 9, 13 and 16
Decision date: 20 August 2026
Context: Risk register item R-014.</t>
      </text>
    </comment>
    <comment ref="D22" authorId="0" shapeId="0">
      <text>
        <t>Source: Final report sections 6, 9, 13 and 16
Decision date: 20 August 2026
Context: Risk register item R-014.</t>
      </text>
    </comment>
    <comment ref="E22" authorId="0" shapeId="0">
      <text>
        <t>Source: Final report sections 6, 9, 13 and 16
Decision date: 20 August 2026
Context: Risk register item R-014.</t>
      </text>
    </comment>
    <comment ref="F22" authorId="0" shapeId="0">
      <text>
        <t>Source: Final report sections 6, 9, 13 and 16
Decision date: 20 August 2026
Context: Risk register item R-014.</t>
      </text>
    </comment>
    <comment ref="G22" authorId="0" shapeId="0">
      <text>
        <t>Source: Final report sections 6, 9, 13 and 16
Decision date: 20 August 2026
Context: Risk register item R-014.</t>
      </text>
    </comment>
    <comment ref="H22" authorId="0" shapeId="0">
      <text>
        <t>Source: Final report sections 6, 9, 13 and 16
Decision date: 20 August 2026
Context: Risk register item R-014.</t>
      </text>
    </comment>
    <comment ref="I22" authorId="0" shapeId="0">
      <text>
        <t>Source: Final report sections 6, 9, 13 and 16
Decision date: 20 August 2026
Context: Risk register item R-014.</t>
      </text>
    </comment>
    <comment ref="J22" authorId="0" shapeId="0">
      <text>
        <t>Source: Final report sections 6, 9, 13 and 16
Decision date: 20 August 2026
Context: Risk register item R-014.</t>
      </text>
    </comment>
    <comment ref="K22" authorId="0" shapeId="0">
      <text>
        <t>Source: Final report sections 6, 9, 13 and 16
Decision date: 20 August 2026
Context: Risk register item R-014.</t>
      </text>
    </comment>
    <comment ref="L22" authorId="0" shapeId="0">
      <text>
        <t>Source: Final report sections 6, 9, 13 and 16
Decision date: 20 August 2026
Context: Risk register item R-014.</t>
      </text>
    </comment>
    <comment ref="M22" authorId="0" shapeId="0">
      <text>
        <t>Source: User-controlled diligence field
Decision date: 20 August 2026
Context: Editable target date.</t>
      </text>
    </comment>
    <comment ref="N22" authorId="0" shapeId="0">
      <text>
        <t>Source: User-controlled diligence field
Decision date: 20 August 2026
Context: Editable closure note.</t>
      </text>
    </comment>
    <comment ref="C23" authorId="0" shapeId="0">
      <text>
        <t>Source: Final report sections 6, 9, 13 and 16
Decision date: 20 August 2026
Context: Risk register item R-015.</t>
      </text>
    </comment>
    <comment ref="D23" authorId="0" shapeId="0">
      <text>
        <t>Source: Final report sections 6, 9, 13 and 16
Decision date: 20 August 2026
Context: Risk register item R-015.</t>
      </text>
    </comment>
    <comment ref="E23" authorId="0" shapeId="0">
      <text>
        <t>Source: Final report sections 6, 9, 13 and 16
Decision date: 20 August 2026
Context: Risk register item R-015.</t>
      </text>
    </comment>
    <comment ref="F23" authorId="0" shapeId="0">
      <text>
        <t>Source: Final report sections 6, 9, 13 and 16
Decision date: 20 August 2026
Context: Risk register item R-015.</t>
      </text>
    </comment>
    <comment ref="G23" authorId="0" shapeId="0">
      <text>
        <t>Source: Final report sections 6, 9, 13 and 16
Decision date: 20 August 2026
Context: Risk register item R-015.</t>
      </text>
    </comment>
    <comment ref="H23" authorId="0" shapeId="0">
      <text>
        <t>Source: Final report sections 6, 9, 13 and 16
Decision date: 20 August 2026
Context: Risk register item R-015.</t>
      </text>
    </comment>
    <comment ref="I23" authorId="0" shapeId="0">
      <text>
        <t>Source: Final report sections 6, 9, 13 and 16
Decision date: 20 August 2026
Context: Risk register item R-015.</t>
      </text>
    </comment>
    <comment ref="J23" authorId="0" shapeId="0">
      <text>
        <t>Source: Final report sections 6, 9, 13 and 16
Decision date: 20 August 2026
Context: Risk register item R-015.</t>
      </text>
    </comment>
    <comment ref="K23" authorId="0" shapeId="0">
      <text>
        <t>Source: Final report sections 6, 9, 13 and 16
Decision date: 20 August 2026
Context: Risk register item R-015.</t>
      </text>
    </comment>
    <comment ref="L23" authorId="0" shapeId="0">
      <text>
        <t>Source: Final report sections 6, 9, 13 and 16
Decision date: 20 August 2026
Context: Risk register item R-015.</t>
      </text>
    </comment>
    <comment ref="M23" authorId="0" shapeId="0">
      <text>
        <t>Source: User-controlled diligence field
Decision date: 20 August 2026
Context: Editable target date.</t>
      </text>
    </comment>
    <comment ref="N23" authorId="0" shapeId="0">
      <text>
        <t>Source: User-controlled diligence field
Decision date: 20 August 2026
Context: Editable closure note.</t>
      </text>
    </comment>
    <comment ref="C24" authorId="0" shapeId="0">
      <text>
        <t>Source: Final report sections 6, 9, 13 and 16
Decision date: 20 August 2026
Context: Risk register item R-016.</t>
      </text>
    </comment>
    <comment ref="D24" authorId="0" shapeId="0">
      <text>
        <t>Source: Final report sections 6, 9, 13 and 16
Decision date: 20 August 2026
Context: Risk register item R-016.</t>
      </text>
    </comment>
    <comment ref="E24" authorId="0" shapeId="0">
      <text>
        <t>Source: Final report sections 6, 9, 13 and 16
Decision date: 20 August 2026
Context: Risk register item R-016.</t>
      </text>
    </comment>
    <comment ref="F24" authorId="0" shapeId="0">
      <text>
        <t>Source: Final report sections 6, 9, 13 and 16
Decision date: 20 August 2026
Context: Risk register item R-016.</t>
      </text>
    </comment>
    <comment ref="G24" authorId="0" shapeId="0">
      <text>
        <t>Source: Final report sections 6, 9, 13 and 16
Decision date: 20 August 2026
Context: Risk register item R-016.</t>
      </text>
    </comment>
    <comment ref="H24" authorId="0" shapeId="0">
      <text>
        <t>Source: Final report sections 6, 9, 13 and 16
Decision date: 20 August 2026
Context: Risk register item R-016.</t>
      </text>
    </comment>
    <comment ref="I24" authorId="0" shapeId="0">
      <text>
        <t>Source: Final report sections 6, 9, 13 and 16
Decision date: 20 August 2026
Context: Risk register item R-016.</t>
      </text>
    </comment>
    <comment ref="J24" authorId="0" shapeId="0">
      <text>
        <t>Source: Final report sections 6, 9, 13 and 16
Decision date: 20 August 2026
Context: Risk register item R-016.</t>
      </text>
    </comment>
    <comment ref="K24" authorId="0" shapeId="0">
      <text>
        <t>Source: Final report sections 6, 9, 13 and 16
Decision date: 20 August 2026
Context: Risk register item R-016.</t>
      </text>
    </comment>
    <comment ref="L24" authorId="0" shapeId="0">
      <text>
        <t>Source: Final report sections 6, 9, 13 and 16
Decision date: 20 August 2026
Context: Risk register item R-016.</t>
      </text>
    </comment>
    <comment ref="M24" authorId="0" shapeId="0">
      <text>
        <t>Source: User-controlled diligence field
Decision date: 20 August 2026
Context: Editable target date.</t>
      </text>
    </comment>
    <comment ref="N24" authorId="0" shapeId="0">
      <text>
        <t>Source: User-controlled diligence field
Decision date: 20 August 2026
Context: Editable closure note.</t>
      </text>
    </comment>
    <comment ref="C25" authorId="0" shapeId="0">
      <text>
        <t>Source: Final report sections 6, 9, 13 and 16
Decision date: 20 August 2026
Context: Risk register item R-017.</t>
      </text>
    </comment>
    <comment ref="D25" authorId="0" shapeId="0">
      <text>
        <t>Source: Final report sections 6, 9, 13 and 16
Decision date: 20 August 2026
Context: Risk register item R-017.</t>
      </text>
    </comment>
    <comment ref="E25" authorId="0" shapeId="0">
      <text>
        <t>Source: Final report sections 6, 9, 13 and 16
Decision date: 20 August 2026
Context: Risk register item R-017.</t>
      </text>
    </comment>
    <comment ref="F25" authorId="0" shapeId="0">
      <text>
        <t>Source: Final report sections 6, 9, 13 and 16
Decision date: 20 August 2026
Context: Risk register item R-017.</t>
      </text>
    </comment>
    <comment ref="G25" authorId="0" shapeId="0">
      <text>
        <t>Source: Final report sections 6, 9, 13 and 16
Decision date: 20 August 2026
Context: Risk register item R-017.</t>
      </text>
    </comment>
    <comment ref="H25" authorId="0" shapeId="0">
      <text>
        <t>Source: Final report sections 6, 9, 13 and 16
Decision date: 20 August 2026
Context: Risk register item R-017.</t>
      </text>
    </comment>
    <comment ref="I25" authorId="0" shapeId="0">
      <text>
        <t>Source: Final report sections 6, 9, 13 and 16
Decision date: 20 August 2026
Context: Risk register item R-017.</t>
      </text>
    </comment>
    <comment ref="J25" authorId="0" shapeId="0">
      <text>
        <t>Source: Final report sections 6, 9, 13 and 16
Decision date: 20 August 2026
Context: Risk register item R-017.</t>
      </text>
    </comment>
    <comment ref="K25" authorId="0" shapeId="0">
      <text>
        <t>Source: Final report sections 6, 9, 13 and 16
Decision date: 20 August 2026
Context: Risk register item R-017.</t>
      </text>
    </comment>
    <comment ref="L25" authorId="0" shapeId="0">
      <text>
        <t>Source: Final report sections 6, 9, 13 and 16
Decision date: 20 August 2026
Context: Risk register item R-017.</t>
      </text>
    </comment>
    <comment ref="M25" authorId="0" shapeId="0">
      <text>
        <t>Source: User-controlled diligence field
Decision date: 20 August 2026
Context: Editable target date.</t>
      </text>
    </comment>
    <comment ref="N25" authorId="0" shapeId="0">
      <text>
        <t>Source: User-controlled diligence field
Decision date: 20 August 2026
Context: Editable closure note.</t>
      </text>
    </comment>
    <comment ref="C26" authorId="0" shapeId="0">
      <text>
        <t>Source: Final report sections 6, 9, 13 and 16
Decision date: 20 August 2026
Context: Risk register item R-018.</t>
      </text>
    </comment>
    <comment ref="D26" authorId="0" shapeId="0">
      <text>
        <t>Source: Final report sections 6, 9, 13 and 16
Decision date: 20 August 2026
Context: Risk register item R-018.</t>
      </text>
    </comment>
    <comment ref="E26" authorId="0" shapeId="0">
      <text>
        <t>Source: Final report sections 6, 9, 13 and 16
Decision date: 20 August 2026
Context: Risk register item R-018.</t>
      </text>
    </comment>
    <comment ref="F26" authorId="0" shapeId="0">
      <text>
        <t>Source: Final report sections 6, 9, 13 and 16
Decision date: 20 August 2026
Context: Risk register item R-018.</t>
      </text>
    </comment>
    <comment ref="G26" authorId="0" shapeId="0">
      <text>
        <t>Source: Final report sections 6, 9, 13 and 16
Decision date: 20 August 2026
Context: Risk register item R-018.</t>
      </text>
    </comment>
    <comment ref="H26" authorId="0" shapeId="0">
      <text>
        <t>Source: Final report sections 6, 9, 13 and 16
Decision date: 20 August 2026
Context: Risk register item R-018.</t>
      </text>
    </comment>
    <comment ref="I26" authorId="0" shapeId="0">
      <text>
        <t>Source: Final report sections 6, 9, 13 and 16
Decision date: 20 August 2026
Context: Risk register item R-018.</t>
      </text>
    </comment>
    <comment ref="J26" authorId="0" shapeId="0">
      <text>
        <t>Source: Final report sections 6, 9, 13 and 16
Decision date: 20 August 2026
Context: Risk register item R-018.</t>
      </text>
    </comment>
    <comment ref="K26" authorId="0" shapeId="0">
      <text>
        <t>Source: Final report sections 6, 9, 13 and 16
Decision date: 20 August 2026
Context: Risk register item R-018.</t>
      </text>
    </comment>
    <comment ref="L26" authorId="0" shapeId="0">
      <text>
        <t>Source: Final report sections 6, 9, 13 and 16
Decision date: 20 August 2026
Context: Risk register item R-018.</t>
      </text>
    </comment>
    <comment ref="M26" authorId="0" shapeId="0">
      <text>
        <t>Source: User-controlled diligence field
Decision date: 20 August 2026
Context: Editable target date.</t>
      </text>
    </comment>
    <comment ref="N26" authorId="0" shapeId="0">
      <text>
        <t>Source: User-controlled diligence field
Decision date: 20 August 2026
Context: Editable closure note.</t>
      </text>
    </comment>
    <comment ref="C27" authorId="0" shapeId="0">
      <text>
        <t>Source: Final report sections 6, 9, 13 and 16
Decision date: 20 August 2026
Context: Risk register item R-019.</t>
      </text>
    </comment>
    <comment ref="D27" authorId="0" shapeId="0">
      <text>
        <t>Source: Final report sections 6, 9, 13 and 16
Decision date: 20 August 2026
Context: Risk register item R-019.</t>
      </text>
    </comment>
    <comment ref="E27" authorId="0" shapeId="0">
      <text>
        <t>Source: Final report sections 6, 9, 13 and 16
Decision date: 20 August 2026
Context: Risk register item R-019.</t>
      </text>
    </comment>
    <comment ref="F27" authorId="0" shapeId="0">
      <text>
        <t>Source: Final report sections 6, 9, 13 and 16
Decision date: 20 August 2026
Context: Risk register item R-019.</t>
      </text>
    </comment>
    <comment ref="G27" authorId="0" shapeId="0">
      <text>
        <t>Source: Final report sections 6, 9, 13 and 16
Decision date: 20 August 2026
Context: Risk register item R-019.</t>
      </text>
    </comment>
    <comment ref="H27" authorId="0" shapeId="0">
      <text>
        <t>Source: Final report sections 6, 9, 13 and 16
Decision date: 20 August 2026
Context: Risk register item R-019.</t>
      </text>
    </comment>
    <comment ref="I27" authorId="0" shapeId="0">
      <text>
        <t>Source: Final report sections 6, 9, 13 and 16
Decision date: 20 August 2026
Context: Risk register item R-019.</t>
      </text>
    </comment>
    <comment ref="J27" authorId="0" shapeId="0">
      <text>
        <t>Source: Final report sections 6, 9, 13 and 16
Decision date: 20 August 2026
Context: Risk register item R-019.</t>
      </text>
    </comment>
    <comment ref="K27" authorId="0" shapeId="0">
      <text>
        <t>Source: Final report sections 6, 9, 13 and 16
Decision date: 20 August 2026
Context: Risk register item R-019.</t>
      </text>
    </comment>
    <comment ref="L27" authorId="0" shapeId="0">
      <text>
        <t>Source: Final report sections 6, 9, 13 and 16
Decision date: 20 August 2026
Context: Risk register item R-019.</t>
      </text>
    </comment>
    <comment ref="M27" authorId="0" shapeId="0">
      <text>
        <t>Source: User-controlled diligence field
Decision date: 20 August 2026
Context: Editable target date.</t>
      </text>
    </comment>
    <comment ref="N27" authorId="0" shapeId="0">
      <text>
        <t>Source: User-controlled diligence field
Decision date: 20 August 2026
Context: Editable closure note.</t>
      </text>
    </comment>
    <comment ref="C28" authorId="0" shapeId="0">
      <text>
        <t>Source: Final report sections 6, 9, 13 and 16
Decision date: 20 August 2026
Context: Risk register item R-020.</t>
      </text>
    </comment>
    <comment ref="D28" authorId="0" shapeId="0">
      <text>
        <t>Source: Final report sections 6, 9, 13 and 16
Decision date: 20 August 2026
Context: Risk register item R-020.</t>
      </text>
    </comment>
    <comment ref="E28" authorId="0" shapeId="0">
      <text>
        <t>Source: Final report sections 6, 9, 13 and 16
Decision date: 20 August 2026
Context: Risk register item R-020.</t>
      </text>
    </comment>
    <comment ref="F28" authorId="0" shapeId="0">
      <text>
        <t>Source: Final report sections 6, 9, 13 and 16
Decision date: 20 August 2026
Context: Risk register item R-020.</t>
      </text>
    </comment>
    <comment ref="G28" authorId="0" shapeId="0">
      <text>
        <t>Source: Final report sections 6, 9, 13 and 16
Decision date: 20 August 2026
Context: Risk register item R-020.</t>
      </text>
    </comment>
    <comment ref="H28" authorId="0" shapeId="0">
      <text>
        <t>Source: Final report sections 6, 9, 13 and 16
Decision date: 20 August 2026
Context: Risk register item R-020.</t>
      </text>
    </comment>
    <comment ref="I28" authorId="0" shapeId="0">
      <text>
        <t>Source: Final report sections 6, 9, 13 and 16
Decision date: 20 August 2026
Context: Risk register item R-020.</t>
      </text>
    </comment>
    <comment ref="J28" authorId="0" shapeId="0">
      <text>
        <t>Source: Final report sections 6, 9, 13 and 16
Decision date: 20 August 2026
Context: Risk register item R-020.</t>
      </text>
    </comment>
    <comment ref="K28" authorId="0" shapeId="0">
      <text>
        <t>Source: Final report sections 6, 9, 13 and 16
Decision date: 20 August 2026
Context: Risk register item R-020.</t>
      </text>
    </comment>
    <comment ref="L28" authorId="0" shapeId="0">
      <text>
        <t>Source: Final report sections 6, 9, 13 and 16
Decision date: 20 August 2026
Context: Risk register item R-020.</t>
      </text>
    </comment>
    <comment ref="M28" authorId="0" shapeId="0">
      <text>
        <t>Source: User-controlled diligence field
Decision date: 20 August 2026
Context: Editable target date.</t>
      </text>
    </comment>
    <comment ref="N28" authorId="0" shapeId="0">
      <text>
        <t>Source: User-controlled diligence field
Decision date: 20 August 2026
Context: Editable closure note.</t>
      </text>
    </comment>
  </commentList>
</comments>
</file>

<file path=xl/comments/comment7.xml><?xml version="1.0" encoding="utf-8"?>
<comments xmlns="http://schemas.openxmlformats.org/spreadsheetml/2006/main">
  <authors>
    <author>Manus</author>
  </authors>
  <commentList>
    <comment ref="C9" authorId="0" shapeId="0">
      <text>
        <t>Source: source_register.csv
Decision date: 20 August 2026
Context: Source register row SRC-001.</t>
      </text>
    </comment>
    <comment ref="D9" authorId="0" shapeId="0">
      <text>
        <t>Source: source_register.csv
Decision date: 20 August 2026
Context: Source register row SRC-001.</t>
      </text>
    </comment>
    <comment ref="E9" authorId="0" shapeId="0">
      <text>
        <t>Source: source_register.csv
Decision date: 20 August 2026
Context: Source register row SRC-001.</t>
      </text>
    </comment>
    <comment ref="F9" authorId="0" shapeId="0">
      <text>
        <t>Source: source_register.csv
Decision date: 20 August 2026
Context: Source register row SRC-001.</t>
      </text>
    </comment>
    <comment ref="G9" authorId="0" shapeId="0">
      <text>
        <t>Source: source_register.csv
Decision date: 20 August 2026
Context: Source register row SRC-001.</t>
      </text>
    </comment>
    <comment ref="H9" authorId="0" shapeId="0">
      <text>
        <t>Source: source_register.csv
Decision date: 20 August 2026
Context: Source register row SRC-001.</t>
      </text>
    </comment>
    <comment ref="I9" authorId="0" shapeId="0">
      <text>
        <t>Source: source_register.csv
Decision date: 20 August 2026
Context: Source register row SRC-001.</t>
      </text>
    </comment>
    <comment ref="C10" authorId="0" shapeId="0">
      <text>
        <t>Source: source_register.csv
Decision date: 20 August 2026
Context: Source register row SRC-002.</t>
      </text>
    </comment>
    <comment ref="D10" authorId="0" shapeId="0">
      <text>
        <t>Source: source_register.csv
Decision date: 20 August 2026
Context: Source register row SRC-002.</t>
      </text>
    </comment>
    <comment ref="E10" authorId="0" shapeId="0">
      <text>
        <t>Source: source_register.csv
Decision date: 20 August 2026
Context: Source register row SRC-002.</t>
      </text>
    </comment>
    <comment ref="F10" authorId="0" shapeId="0">
      <text>
        <t>Source: source_register.csv
Decision date: 20 August 2026
Context: Source register row SRC-002.</t>
      </text>
    </comment>
    <comment ref="G10" authorId="0" shapeId="0">
      <text>
        <t>Source: source_register.csv
Decision date: 20 August 2026
Context: Source register row SRC-002.</t>
      </text>
    </comment>
    <comment ref="H10" authorId="0" shapeId="0">
      <text>
        <t>Source: source_register.csv
Decision date: 20 August 2026
Context: Source register row SRC-002.</t>
      </text>
    </comment>
    <comment ref="I10" authorId="0" shapeId="0">
      <text>
        <t>Source: source_register.csv
Decision date: 20 August 2026
Context: Source register row SRC-002.</t>
      </text>
    </comment>
    <comment ref="C11" authorId="0" shapeId="0">
      <text>
        <t>Source: source_register.csv
Decision date: 20 August 2026
Context: Source register row SRC-003.</t>
      </text>
    </comment>
    <comment ref="D11" authorId="0" shapeId="0">
      <text>
        <t>Source: source_register.csv
Decision date: 20 August 2026
Context: Source register row SRC-003.</t>
      </text>
    </comment>
    <comment ref="E11" authorId="0" shapeId="0">
      <text>
        <t>Source: source_register.csv
Decision date: 20 August 2026
Context: Source register row SRC-003.</t>
      </text>
    </comment>
    <comment ref="F11" authorId="0" shapeId="0">
      <text>
        <t>Source: source_register.csv
Decision date: 20 August 2026
Context: Source register row SRC-003.</t>
      </text>
    </comment>
    <comment ref="G11" authorId="0" shapeId="0">
      <text>
        <t>Source: source_register.csv
Decision date: 20 August 2026
Context: Source register row SRC-003.</t>
      </text>
    </comment>
    <comment ref="H11" authorId="0" shapeId="0">
      <text>
        <t>Source: source_register.csv
Decision date: 20 August 2026
Context: Source register row SRC-003.</t>
      </text>
    </comment>
    <comment ref="I11" authorId="0" shapeId="0">
      <text>
        <t>Source: source_register.csv
Decision date: 20 August 2026
Context: Source register row SRC-003.</t>
      </text>
    </comment>
    <comment ref="C12" authorId="0" shapeId="0">
      <text>
        <t>Source: source_register.csv
Decision date: 20 August 2026
Context: Source register row SRC-004.</t>
      </text>
    </comment>
    <comment ref="D12" authorId="0" shapeId="0">
      <text>
        <t>Source: source_register.csv
Decision date: 20 August 2026
Context: Source register row SRC-004.</t>
      </text>
    </comment>
    <comment ref="E12" authorId="0" shapeId="0">
      <text>
        <t>Source: source_register.csv
Decision date: 20 August 2026
Context: Source register row SRC-004.</t>
      </text>
    </comment>
    <comment ref="F12" authorId="0" shapeId="0">
      <text>
        <t>Source: source_register.csv
Decision date: 20 August 2026
Context: Source register row SRC-004.</t>
      </text>
    </comment>
    <comment ref="G12" authorId="0" shapeId="0">
      <text>
        <t>Source: source_register.csv
Decision date: 20 August 2026
Context: Source register row SRC-004.</t>
      </text>
    </comment>
    <comment ref="H12" authorId="0" shapeId="0">
      <text>
        <t>Source: source_register.csv
Decision date: 20 August 2026
Context: Source register row SRC-004.</t>
      </text>
    </comment>
    <comment ref="I12" authorId="0" shapeId="0">
      <text>
        <t>Source: source_register.csv
Decision date: 20 August 2026
Context: Source register row SRC-004.</t>
      </text>
    </comment>
    <comment ref="C13" authorId="0" shapeId="0">
      <text>
        <t>Source: source_register.csv
Decision date: 20 August 2026
Context: Source register row SRC-005.</t>
      </text>
    </comment>
    <comment ref="D13" authorId="0" shapeId="0">
      <text>
        <t>Source: source_register.csv
Decision date: 20 August 2026
Context: Source register row SRC-005.</t>
      </text>
    </comment>
    <comment ref="E13" authorId="0" shapeId="0">
      <text>
        <t>Source: source_register.csv
Decision date: 20 August 2026
Context: Source register row SRC-005.</t>
      </text>
    </comment>
    <comment ref="F13" authorId="0" shapeId="0">
      <text>
        <t>Source: source_register.csv
Decision date: 20 August 2026
Context: Source register row SRC-005.</t>
      </text>
    </comment>
    <comment ref="G13" authorId="0" shapeId="0">
      <text>
        <t>Source: source_register.csv
Decision date: 20 August 2026
Context: Source register row SRC-005.</t>
      </text>
    </comment>
    <comment ref="H13" authorId="0" shapeId="0">
      <text>
        <t>Source: source_register.csv
Decision date: 20 August 2026
Context: Source register row SRC-005.</t>
      </text>
    </comment>
    <comment ref="I13" authorId="0" shapeId="0">
      <text>
        <t>Source: source_register.csv
Decision date: 20 August 2026
Context: Source register row SRC-005.</t>
      </text>
    </comment>
    <comment ref="C14" authorId="0" shapeId="0">
      <text>
        <t>Source: source_register.csv
Decision date: 20 August 2026
Context: Source register row SRC-006.</t>
      </text>
    </comment>
    <comment ref="D14" authorId="0" shapeId="0">
      <text>
        <t>Source: source_register.csv
Decision date: 20 August 2026
Context: Source register row SRC-006.</t>
      </text>
    </comment>
    <comment ref="E14" authorId="0" shapeId="0">
      <text>
        <t>Source: source_register.csv
Decision date: 20 August 2026
Context: Source register row SRC-006.</t>
      </text>
    </comment>
    <comment ref="F14" authorId="0" shapeId="0">
      <text>
        <t>Source: source_register.csv
Decision date: 20 August 2026
Context: Source register row SRC-006.</t>
      </text>
    </comment>
    <comment ref="G14" authorId="0" shapeId="0">
      <text>
        <t>Source: source_register.csv
Decision date: 20 August 2026
Context: Source register row SRC-006.</t>
      </text>
    </comment>
    <comment ref="H14" authorId="0" shapeId="0">
      <text>
        <t>Source: source_register.csv
Decision date: 20 August 2026
Context: Source register row SRC-006.</t>
      </text>
    </comment>
    <comment ref="I14" authorId="0" shapeId="0">
      <text>
        <t>Source: source_register.csv
Decision date: 20 August 2026
Context: Source register row SRC-006.</t>
      </text>
    </comment>
    <comment ref="C15" authorId="0" shapeId="0">
      <text>
        <t>Source: source_register.csv
Decision date: 20 August 2026
Context: Source register row SRC-007.</t>
      </text>
    </comment>
    <comment ref="D15" authorId="0" shapeId="0">
      <text>
        <t>Source: source_register.csv
Decision date: 20 August 2026
Context: Source register row SRC-007.</t>
      </text>
    </comment>
    <comment ref="E15" authorId="0" shapeId="0">
      <text>
        <t>Source: source_register.csv
Decision date: 20 August 2026
Context: Source register row SRC-007.</t>
      </text>
    </comment>
    <comment ref="F15" authorId="0" shapeId="0">
      <text>
        <t>Source: source_register.csv
Decision date: 20 August 2026
Context: Source register row SRC-007.</t>
      </text>
    </comment>
    <comment ref="G15" authorId="0" shapeId="0">
      <text>
        <t>Source: source_register.csv
Decision date: 20 August 2026
Context: Source register row SRC-007.</t>
      </text>
    </comment>
    <comment ref="H15" authorId="0" shapeId="0">
      <text>
        <t>Source: source_register.csv
Decision date: 20 August 2026
Context: Source register row SRC-007.</t>
      </text>
    </comment>
    <comment ref="I15" authorId="0" shapeId="0">
      <text>
        <t>Source: source_register.csv
Decision date: 20 August 2026
Context: Source register row SRC-007.</t>
      </text>
    </comment>
    <comment ref="C16" authorId="0" shapeId="0">
      <text>
        <t>Source: source_register.csv
Decision date: 20 August 2026
Context: Source register row SRC-008.</t>
      </text>
    </comment>
    <comment ref="D16" authorId="0" shapeId="0">
      <text>
        <t>Source: source_register.csv
Decision date: 20 August 2026
Context: Source register row SRC-008.</t>
      </text>
    </comment>
    <comment ref="E16" authorId="0" shapeId="0">
      <text>
        <t>Source: source_register.csv
Decision date: 20 August 2026
Context: Source register row SRC-008.</t>
      </text>
    </comment>
    <comment ref="F16" authorId="0" shapeId="0">
      <text>
        <t>Source: source_register.csv
Decision date: 20 August 2026
Context: Source register row SRC-008.</t>
      </text>
    </comment>
    <comment ref="G16" authorId="0" shapeId="0">
      <text>
        <t>Source: source_register.csv
Decision date: 20 August 2026
Context: Source register row SRC-008.</t>
      </text>
    </comment>
    <comment ref="H16" authorId="0" shapeId="0">
      <text>
        <t>Source: source_register.csv
Decision date: 20 August 2026
Context: Source register row SRC-008.</t>
      </text>
    </comment>
    <comment ref="I16" authorId="0" shapeId="0">
      <text>
        <t>Source: source_register.csv
Decision date: 20 August 2026
Context: Source register row SRC-008.</t>
      </text>
    </comment>
    <comment ref="C17" authorId="0" shapeId="0">
      <text>
        <t>Source: source_register.csv
Decision date: 20 August 2026
Context: Source register row SRC-009.</t>
      </text>
    </comment>
    <comment ref="D17" authorId="0" shapeId="0">
      <text>
        <t>Source: source_register.csv
Decision date: 20 August 2026
Context: Source register row SRC-009.</t>
      </text>
    </comment>
    <comment ref="E17" authorId="0" shapeId="0">
      <text>
        <t>Source: source_register.csv
Decision date: 20 August 2026
Context: Source register row SRC-009.</t>
      </text>
    </comment>
    <comment ref="F17" authorId="0" shapeId="0">
      <text>
        <t>Source: source_register.csv
Decision date: 20 August 2026
Context: Source register row SRC-009.</t>
      </text>
    </comment>
    <comment ref="G17" authorId="0" shapeId="0">
      <text>
        <t>Source: source_register.csv
Decision date: 20 August 2026
Context: Source register row SRC-009.</t>
      </text>
    </comment>
    <comment ref="H17" authorId="0" shapeId="0">
      <text>
        <t>Source: source_register.csv
Decision date: 20 August 2026
Context: Source register row SRC-009.</t>
      </text>
    </comment>
    <comment ref="I17" authorId="0" shapeId="0">
      <text>
        <t>Source: source_register.csv
Decision date: 20 August 2026
Context: Source register row SRC-009.</t>
      </text>
    </comment>
    <comment ref="C18" authorId="0" shapeId="0">
      <text>
        <t>Source: source_register.csv
Decision date: 20 August 2026
Context: Source register row SRC-010.</t>
      </text>
    </comment>
    <comment ref="D18" authorId="0" shapeId="0">
      <text>
        <t>Source: source_register.csv
Decision date: 20 August 2026
Context: Source register row SRC-010.</t>
      </text>
    </comment>
    <comment ref="E18" authorId="0" shapeId="0">
      <text>
        <t>Source: source_register.csv
Decision date: 20 August 2026
Context: Source register row SRC-010.</t>
      </text>
    </comment>
    <comment ref="F18" authorId="0" shapeId="0">
      <text>
        <t>Source: source_register.csv
Decision date: 20 August 2026
Context: Source register row SRC-010.</t>
      </text>
    </comment>
    <comment ref="G18" authorId="0" shapeId="0">
      <text>
        <t>Source: source_register.csv
Decision date: 20 August 2026
Context: Source register row SRC-010.</t>
      </text>
    </comment>
    <comment ref="H18" authorId="0" shapeId="0">
      <text>
        <t>Source: source_register.csv
Decision date: 20 August 2026
Context: Source register row SRC-010.</t>
      </text>
    </comment>
    <comment ref="I18" authorId="0" shapeId="0">
      <text>
        <t>Source: source_register.csv
Decision date: 20 August 2026
Context: Source register row SRC-010.</t>
      </text>
    </comment>
    <comment ref="C19" authorId="0" shapeId="0">
      <text>
        <t>Source: source_register.csv
Decision date: 20 August 2026
Context: Source register row SRC-011.</t>
      </text>
    </comment>
    <comment ref="D19" authorId="0" shapeId="0">
      <text>
        <t>Source: source_register.csv
Decision date: 20 August 2026
Context: Source register row SRC-011.</t>
      </text>
    </comment>
    <comment ref="E19" authorId="0" shapeId="0">
      <text>
        <t>Source: source_register.csv
Decision date: 20 August 2026
Context: Source register row SRC-011.</t>
      </text>
    </comment>
    <comment ref="F19" authorId="0" shapeId="0">
      <text>
        <t>Source: source_register.csv
Decision date: 20 August 2026
Context: Source register row SRC-011.</t>
      </text>
    </comment>
    <comment ref="G19" authorId="0" shapeId="0">
      <text>
        <t>Source: source_register.csv
Decision date: 20 August 2026
Context: Source register row SRC-011.</t>
      </text>
    </comment>
    <comment ref="H19" authorId="0" shapeId="0">
      <text>
        <t>Source: source_register.csv
Decision date: 20 August 2026
Context: Source register row SRC-011.</t>
      </text>
    </comment>
    <comment ref="I19" authorId="0" shapeId="0">
      <text>
        <t>Source: source_register.csv
Decision date: 20 August 2026
Context: Source register row SRC-011.</t>
      </text>
    </comment>
    <comment ref="C20" authorId="0" shapeId="0">
      <text>
        <t>Source: source_register.csv
Decision date: 20 August 2026
Context: Source register row SRC-012.</t>
      </text>
    </comment>
    <comment ref="D20" authorId="0" shapeId="0">
      <text>
        <t>Source: source_register.csv
Decision date: 20 August 2026
Context: Source register row SRC-012.</t>
      </text>
    </comment>
    <comment ref="E20" authorId="0" shapeId="0">
      <text>
        <t>Source: source_register.csv
Decision date: 20 August 2026
Context: Source register row SRC-012.</t>
      </text>
    </comment>
    <comment ref="F20" authorId="0" shapeId="0">
      <text>
        <t>Source: source_register.csv
Decision date: 20 August 2026
Context: Source register row SRC-012.</t>
      </text>
    </comment>
    <comment ref="G20" authorId="0" shapeId="0">
      <text>
        <t>Source: source_register.csv
Decision date: 20 August 2026
Context: Source register row SRC-012.</t>
      </text>
    </comment>
    <comment ref="H20" authorId="0" shapeId="0">
      <text>
        <t>Source: source_register.csv
Decision date: 20 August 2026
Context: Source register row SRC-012.</t>
      </text>
    </comment>
    <comment ref="I20" authorId="0" shapeId="0">
      <text>
        <t>Source: source_register.csv
Decision date: 20 August 2026
Context: Source register row SRC-012.</t>
      </text>
    </comment>
    <comment ref="C21" authorId="0" shapeId="0">
      <text>
        <t>Source: source_register.csv
Decision date: 20 August 2026
Context: Source register row SRC-013.</t>
      </text>
    </comment>
    <comment ref="D21" authorId="0" shapeId="0">
      <text>
        <t>Source: source_register.csv
Decision date: 20 August 2026
Context: Source register row SRC-013.</t>
      </text>
    </comment>
    <comment ref="E21" authorId="0" shapeId="0">
      <text>
        <t>Source: source_register.csv
Decision date: 20 August 2026
Context: Source register row SRC-013.</t>
      </text>
    </comment>
    <comment ref="F21" authorId="0" shapeId="0">
      <text>
        <t>Source: source_register.csv
Decision date: 20 August 2026
Context: Source register row SRC-013.</t>
      </text>
    </comment>
    <comment ref="G21" authorId="0" shapeId="0">
      <text>
        <t>Source: source_register.csv
Decision date: 20 August 2026
Context: Source register row SRC-013.</t>
      </text>
    </comment>
    <comment ref="H21" authorId="0" shapeId="0">
      <text>
        <t>Source: source_register.csv
Decision date: 20 August 2026
Context: Source register row SRC-013.</t>
      </text>
    </comment>
    <comment ref="I21" authorId="0" shapeId="0">
      <text>
        <t>Source: source_register.csv
Decision date: 20 August 2026
Context: Source register row SRC-013.</t>
      </text>
    </comment>
    <comment ref="C22" authorId="0" shapeId="0">
      <text>
        <t>Source: source_register.csv
Decision date: 20 August 2026
Context: Source register row SRC-014.</t>
      </text>
    </comment>
    <comment ref="D22" authorId="0" shapeId="0">
      <text>
        <t>Source: source_register.csv
Decision date: 20 August 2026
Context: Source register row SRC-014.</t>
      </text>
    </comment>
    <comment ref="E22" authorId="0" shapeId="0">
      <text>
        <t>Source: source_register.csv
Decision date: 20 August 2026
Context: Source register row SRC-014.</t>
      </text>
    </comment>
    <comment ref="F22" authorId="0" shapeId="0">
      <text>
        <t>Source: source_register.csv
Decision date: 20 August 2026
Context: Source register row SRC-014.</t>
      </text>
    </comment>
    <comment ref="G22" authorId="0" shapeId="0">
      <text>
        <t>Source: source_register.csv
Decision date: 20 August 2026
Context: Source register row SRC-014.</t>
      </text>
    </comment>
    <comment ref="H22" authorId="0" shapeId="0">
      <text>
        <t>Source: source_register.csv
Decision date: 20 August 2026
Context: Source register row SRC-014.</t>
      </text>
    </comment>
    <comment ref="I22" authorId="0" shapeId="0">
      <text>
        <t>Source: source_register.csv
Decision date: 20 August 2026
Context: Source register row SRC-014.</t>
      </text>
    </comment>
    <comment ref="C23" authorId="0" shapeId="0">
      <text>
        <t>Source: source_register.csv
Decision date: 20 August 2026
Context: Source register row SRC-015.</t>
      </text>
    </comment>
    <comment ref="D23" authorId="0" shapeId="0">
      <text>
        <t>Source: source_register.csv
Decision date: 20 August 2026
Context: Source register row SRC-015.</t>
      </text>
    </comment>
    <comment ref="E23" authorId="0" shapeId="0">
      <text>
        <t>Source: source_register.csv
Decision date: 20 August 2026
Context: Source register row SRC-015.</t>
      </text>
    </comment>
    <comment ref="F23" authorId="0" shapeId="0">
      <text>
        <t>Source: source_register.csv
Decision date: 20 August 2026
Context: Source register row SRC-015.</t>
      </text>
    </comment>
    <comment ref="G23" authorId="0" shapeId="0">
      <text>
        <t>Source: source_register.csv
Decision date: 20 August 2026
Context: Source register row SRC-015.</t>
      </text>
    </comment>
    <comment ref="H23" authorId="0" shapeId="0">
      <text>
        <t>Source: source_register.csv
Decision date: 20 August 2026
Context: Source register row SRC-015.</t>
      </text>
    </comment>
    <comment ref="I23" authorId="0" shapeId="0">
      <text>
        <t>Source: source_register.csv
Decision date: 20 August 2026
Context: Source register row SRC-015.</t>
      </text>
    </comment>
    <comment ref="C24" authorId="0" shapeId="0">
      <text>
        <t>Source: source_register.csv
Decision date: 20 August 2026
Context: Source register row SRC-016.</t>
      </text>
    </comment>
    <comment ref="D24" authorId="0" shapeId="0">
      <text>
        <t>Source: source_register.csv
Decision date: 20 August 2026
Context: Source register row SRC-016.</t>
      </text>
    </comment>
    <comment ref="E24" authorId="0" shapeId="0">
      <text>
        <t>Source: source_register.csv
Decision date: 20 August 2026
Context: Source register row SRC-016.</t>
      </text>
    </comment>
    <comment ref="F24" authorId="0" shapeId="0">
      <text>
        <t>Source: source_register.csv
Decision date: 20 August 2026
Context: Source register row SRC-016.</t>
      </text>
    </comment>
    <comment ref="G24" authorId="0" shapeId="0">
      <text>
        <t>Source: source_register.csv
Decision date: 20 August 2026
Context: Source register row SRC-016.</t>
      </text>
    </comment>
    <comment ref="H24" authorId="0" shapeId="0">
      <text>
        <t>Source: source_register.csv
Decision date: 20 August 2026
Context: Source register row SRC-016.</t>
      </text>
    </comment>
    <comment ref="I24" authorId="0" shapeId="0">
      <text>
        <t>Source: source_register.csv
Decision date: 20 August 2026
Context: Source register row SRC-016.</t>
      </text>
    </comment>
    <comment ref="C25" authorId="0" shapeId="0">
      <text>
        <t>Source: source_register.csv
Decision date: 20 August 2026
Context: Source register row SRC-017.</t>
      </text>
    </comment>
    <comment ref="D25" authorId="0" shapeId="0">
      <text>
        <t>Source: source_register.csv
Decision date: 20 August 2026
Context: Source register row SRC-017.</t>
      </text>
    </comment>
    <comment ref="E25" authorId="0" shapeId="0">
      <text>
        <t>Source: source_register.csv
Decision date: 20 August 2026
Context: Source register row SRC-017.</t>
      </text>
    </comment>
    <comment ref="F25" authorId="0" shapeId="0">
      <text>
        <t>Source: source_register.csv
Decision date: 20 August 2026
Context: Source register row SRC-017.</t>
      </text>
    </comment>
    <comment ref="G25" authorId="0" shapeId="0">
      <text>
        <t>Source: source_register.csv
Decision date: 20 August 2026
Context: Source register row SRC-017.</t>
      </text>
    </comment>
    <comment ref="H25" authorId="0" shapeId="0">
      <text>
        <t>Source: source_register.csv
Decision date: 20 August 2026
Context: Source register row SRC-017.</t>
      </text>
    </comment>
    <comment ref="I25" authorId="0" shapeId="0">
      <text>
        <t>Source: source_register.csv
Decision date: 20 August 2026
Context: Source register row SRC-017.</t>
      </text>
    </comment>
    <comment ref="C26" authorId="0" shapeId="0">
      <text>
        <t>Source: source_register.csv
Decision date: 20 August 2026
Context: Source register row SRC-018.</t>
      </text>
    </comment>
    <comment ref="D26" authorId="0" shapeId="0">
      <text>
        <t>Source: source_register.csv
Decision date: 20 August 2026
Context: Source register row SRC-018.</t>
      </text>
    </comment>
    <comment ref="E26" authorId="0" shapeId="0">
      <text>
        <t>Source: source_register.csv
Decision date: 20 August 2026
Context: Source register row SRC-018.</t>
      </text>
    </comment>
    <comment ref="F26" authorId="0" shapeId="0">
      <text>
        <t>Source: source_register.csv
Decision date: 20 August 2026
Context: Source register row SRC-018.</t>
      </text>
    </comment>
    <comment ref="G26" authorId="0" shapeId="0">
      <text>
        <t>Source: source_register.csv
Decision date: 20 August 2026
Context: Source register row SRC-018.</t>
      </text>
    </comment>
    <comment ref="H26" authorId="0" shapeId="0">
      <text>
        <t>Source: source_register.csv
Decision date: 20 August 2026
Context: Source register row SRC-018.</t>
      </text>
    </comment>
    <comment ref="I26" authorId="0" shapeId="0">
      <text>
        <t>Source: source_register.csv
Decision date: 20 August 2026
Context: Source register row SRC-018.</t>
      </text>
    </comment>
    <comment ref="C27" authorId="0" shapeId="0">
      <text>
        <t>Source: source_register.csv
Decision date: 20 August 2026
Context: Source register row SRC-019.</t>
      </text>
    </comment>
    <comment ref="D27" authorId="0" shapeId="0">
      <text>
        <t>Source: source_register.csv
Decision date: 20 August 2026
Context: Source register row SRC-019.</t>
      </text>
    </comment>
    <comment ref="E27" authorId="0" shapeId="0">
      <text>
        <t>Source: source_register.csv
Decision date: 20 August 2026
Context: Source register row SRC-019.</t>
      </text>
    </comment>
    <comment ref="F27" authorId="0" shapeId="0">
      <text>
        <t>Source: source_register.csv
Decision date: 20 August 2026
Context: Source register row SRC-019.</t>
      </text>
    </comment>
    <comment ref="G27" authorId="0" shapeId="0">
      <text>
        <t>Source: source_register.csv
Decision date: 20 August 2026
Context: Source register row SRC-019.</t>
      </text>
    </comment>
    <comment ref="H27" authorId="0" shapeId="0">
      <text>
        <t>Source: source_register.csv
Decision date: 20 August 2026
Context: Source register row SRC-019.</t>
      </text>
    </comment>
    <comment ref="I27" authorId="0" shapeId="0">
      <text>
        <t>Source: source_register.csv
Decision date: 20 August 2026
Context: Source register row SRC-019.</t>
      </text>
    </comment>
    <comment ref="C28" authorId="0" shapeId="0">
      <text>
        <t>Source: source_register.csv
Decision date: 20 August 2026
Context: Source register row SRC-020.</t>
      </text>
    </comment>
    <comment ref="D28" authorId="0" shapeId="0">
      <text>
        <t>Source: source_register.csv
Decision date: 20 August 2026
Context: Source register row SRC-020.</t>
      </text>
    </comment>
    <comment ref="E28" authorId="0" shapeId="0">
      <text>
        <t>Source: source_register.csv
Decision date: 20 August 2026
Context: Source register row SRC-020.</t>
      </text>
    </comment>
    <comment ref="F28" authorId="0" shapeId="0">
      <text>
        <t>Source: source_register.csv
Decision date: 20 August 2026
Context: Source register row SRC-020.</t>
      </text>
    </comment>
    <comment ref="G28" authorId="0" shapeId="0">
      <text>
        <t>Source: source_register.csv
Decision date: 20 August 2026
Context: Source register row SRC-020.</t>
      </text>
    </comment>
    <comment ref="H28" authorId="0" shapeId="0">
      <text>
        <t>Source: source_register.csv
Decision date: 20 August 2026
Context: Source register row SRC-020.</t>
      </text>
    </comment>
    <comment ref="I28" authorId="0" shapeId="0">
      <text>
        <t>Source: source_register.csv
Decision date: 20 August 2026
Context: Source register row SRC-020.</t>
      </text>
    </comment>
    <comment ref="C29" authorId="0" shapeId="0">
      <text>
        <t>Source: source_register.csv
Decision date: 20 August 2026
Context: Source register row SRC-021.</t>
      </text>
    </comment>
    <comment ref="D29" authorId="0" shapeId="0">
      <text>
        <t>Source: source_register.csv
Decision date: 20 August 2026
Context: Source register row SRC-021.</t>
      </text>
    </comment>
    <comment ref="E29" authorId="0" shapeId="0">
      <text>
        <t>Source: source_register.csv
Decision date: 20 August 2026
Context: Source register row SRC-021.</t>
      </text>
    </comment>
    <comment ref="F29" authorId="0" shapeId="0">
      <text>
        <t>Source: source_register.csv
Decision date: 20 August 2026
Context: Source register row SRC-021.</t>
      </text>
    </comment>
    <comment ref="G29" authorId="0" shapeId="0">
      <text>
        <t>Source: source_register.csv
Decision date: 20 August 2026
Context: Source register row SRC-021.</t>
      </text>
    </comment>
    <comment ref="H29" authorId="0" shapeId="0">
      <text>
        <t>Source: source_register.csv
Decision date: 20 August 2026
Context: Source register row SRC-021.</t>
      </text>
    </comment>
    <comment ref="I29" authorId="0" shapeId="0">
      <text>
        <t>Source: source_register.csv
Decision date: 20 August 2026
Context: Source register row SRC-021.</t>
      </text>
    </comment>
    <comment ref="C30" authorId="0" shapeId="0">
      <text>
        <t>Source: source_register.csv
Decision date: 20 August 2026
Context: Source register row SRC-022.</t>
      </text>
    </comment>
    <comment ref="D30" authorId="0" shapeId="0">
      <text>
        <t>Source: source_register.csv
Decision date: 20 August 2026
Context: Source register row SRC-022.</t>
      </text>
    </comment>
    <comment ref="E30" authorId="0" shapeId="0">
      <text>
        <t>Source: source_register.csv
Decision date: 20 August 2026
Context: Source register row SRC-022.</t>
      </text>
    </comment>
    <comment ref="F30" authorId="0" shapeId="0">
      <text>
        <t>Source: source_register.csv
Decision date: 20 August 2026
Context: Source register row SRC-022.</t>
      </text>
    </comment>
    <comment ref="G30" authorId="0" shapeId="0">
      <text>
        <t>Source: source_register.csv
Decision date: 20 August 2026
Context: Source register row SRC-022.</t>
      </text>
    </comment>
    <comment ref="H30" authorId="0" shapeId="0">
      <text>
        <t>Source: source_register.csv
Decision date: 20 August 2026
Context: Source register row SRC-022.</t>
      </text>
    </comment>
    <comment ref="I30" authorId="0" shapeId="0">
      <text>
        <t>Source: source_register.csv
Decision date: 20 August 2026
Context: Source register row SRC-022.</t>
      </text>
    </comment>
    <comment ref="C31" authorId="0" shapeId="0">
      <text>
        <t>Source: source_register.csv
Decision date: 20 August 2026
Context: Source register row SRC-023.</t>
      </text>
    </comment>
    <comment ref="D31" authorId="0" shapeId="0">
      <text>
        <t>Source: source_register.csv
Decision date: 20 August 2026
Context: Source register row SRC-023.</t>
      </text>
    </comment>
    <comment ref="E31" authorId="0" shapeId="0">
      <text>
        <t>Source: source_register.csv
Decision date: 20 August 2026
Context: Source register row SRC-023.</t>
      </text>
    </comment>
    <comment ref="F31" authorId="0" shapeId="0">
      <text>
        <t>Source: source_register.csv
Decision date: 20 August 2026
Context: Source register row SRC-023.</t>
      </text>
    </comment>
    <comment ref="G31" authorId="0" shapeId="0">
      <text>
        <t>Source: source_register.csv
Decision date: 20 August 2026
Context: Source register row SRC-023.</t>
      </text>
    </comment>
    <comment ref="H31" authorId="0" shapeId="0">
      <text>
        <t>Source: source_register.csv
Decision date: 20 August 2026
Context: Source register row SRC-023.</t>
      </text>
    </comment>
    <comment ref="I31" authorId="0" shapeId="0">
      <text>
        <t>Source: source_register.csv
Decision date: 20 August 2026
Context: Source register row SRC-023.</t>
      </text>
    </comment>
    <comment ref="C32" authorId="0" shapeId="0">
      <text>
        <t>Source: source_register.csv
Decision date: 20 August 2026
Context: Source register row SRC-024.</t>
      </text>
    </comment>
    <comment ref="D32" authorId="0" shapeId="0">
      <text>
        <t>Source: source_register.csv
Decision date: 20 August 2026
Context: Source register row SRC-024.</t>
      </text>
    </comment>
    <comment ref="E32" authorId="0" shapeId="0">
      <text>
        <t>Source: source_register.csv
Decision date: 20 August 2026
Context: Source register row SRC-024.</t>
      </text>
    </comment>
    <comment ref="F32" authorId="0" shapeId="0">
      <text>
        <t>Source: source_register.csv
Decision date: 20 August 2026
Context: Source register row SRC-024.</t>
      </text>
    </comment>
    <comment ref="G32" authorId="0" shapeId="0">
      <text>
        <t>Source: source_register.csv
Decision date: 20 August 2026
Context: Source register row SRC-024.</t>
      </text>
    </comment>
    <comment ref="H32" authorId="0" shapeId="0">
      <text>
        <t>Source: source_register.csv
Decision date: 20 August 2026
Context: Source register row SRC-024.</t>
      </text>
    </comment>
    <comment ref="I32" authorId="0" shapeId="0">
      <text>
        <t>Source: source_register.csv
Decision date: 20 August 2026
Context: Source register row SRC-024.</t>
      </text>
    </comment>
    <comment ref="C33" authorId="0" shapeId="0">
      <text>
        <t>Source: source_register.csv
Decision date: 20 August 2026
Context: Source register row SRC-025.</t>
      </text>
    </comment>
    <comment ref="D33" authorId="0" shapeId="0">
      <text>
        <t>Source: source_register.csv
Decision date: 20 August 2026
Context: Source register row SRC-025.</t>
      </text>
    </comment>
    <comment ref="E33" authorId="0" shapeId="0">
      <text>
        <t>Source: source_register.csv
Decision date: 20 August 2026
Context: Source register row SRC-025.</t>
      </text>
    </comment>
    <comment ref="F33" authorId="0" shapeId="0">
      <text>
        <t>Source: source_register.csv
Decision date: 20 August 2026
Context: Source register row SRC-025.</t>
      </text>
    </comment>
    <comment ref="G33" authorId="0" shapeId="0">
      <text>
        <t>Source: source_register.csv
Decision date: 20 August 2026
Context: Source register row SRC-025.</t>
      </text>
    </comment>
    <comment ref="H33" authorId="0" shapeId="0">
      <text>
        <t>Source: source_register.csv
Decision date: 20 August 2026
Context: Source register row SRC-025.</t>
      </text>
    </comment>
    <comment ref="I33" authorId="0" shapeId="0">
      <text>
        <t>Source: source_register.csv
Decision date: 20 August 2026
Context: Source register row SRC-025.</t>
      </text>
    </comment>
    <comment ref="C34" authorId="0" shapeId="0">
      <text>
        <t>Source: source_register.csv
Decision date: 20 August 2026
Context: Source register row SRC-026.</t>
      </text>
    </comment>
    <comment ref="D34" authorId="0" shapeId="0">
      <text>
        <t>Source: source_register.csv
Decision date: 20 August 2026
Context: Source register row SRC-026.</t>
      </text>
    </comment>
    <comment ref="E34" authorId="0" shapeId="0">
      <text>
        <t>Source: source_register.csv
Decision date: 20 August 2026
Context: Source register row SRC-026.</t>
      </text>
    </comment>
    <comment ref="F34" authorId="0" shapeId="0">
      <text>
        <t>Source: source_register.csv
Decision date: 20 August 2026
Context: Source register row SRC-026.</t>
      </text>
    </comment>
    <comment ref="G34" authorId="0" shapeId="0">
      <text>
        <t>Source: source_register.csv
Decision date: 20 August 2026
Context: Source register row SRC-026.</t>
      </text>
    </comment>
    <comment ref="H34" authorId="0" shapeId="0">
      <text>
        <t>Source: source_register.csv
Decision date: 20 August 2026
Context: Source register row SRC-026.</t>
      </text>
    </comment>
    <comment ref="I34" authorId="0" shapeId="0">
      <text>
        <t>Source: source_register.csv
Decision date: 20 August 2026
Context: Source register row SRC-026.</t>
      </text>
    </comment>
    <comment ref="C35" authorId="0" shapeId="0">
      <text>
        <t>Source: source_register.csv
Decision date: 20 August 2026
Context: Source register row SRC-027.</t>
      </text>
    </comment>
    <comment ref="D35" authorId="0" shapeId="0">
      <text>
        <t>Source: source_register.csv
Decision date: 20 August 2026
Context: Source register row SRC-027.</t>
      </text>
    </comment>
    <comment ref="E35" authorId="0" shapeId="0">
      <text>
        <t>Source: source_register.csv
Decision date: 20 August 2026
Context: Source register row SRC-027.</t>
      </text>
    </comment>
    <comment ref="F35" authorId="0" shapeId="0">
      <text>
        <t>Source: source_register.csv
Decision date: 20 August 2026
Context: Source register row SRC-027.</t>
      </text>
    </comment>
    <comment ref="G35" authorId="0" shapeId="0">
      <text>
        <t>Source: source_register.csv
Decision date: 20 August 2026
Context: Source register row SRC-027.</t>
      </text>
    </comment>
    <comment ref="H35" authorId="0" shapeId="0">
      <text>
        <t>Source: source_register.csv
Decision date: 20 August 2026
Context: Source register row SRC-027.</t>
      </text>
    </comment>
    <comment ref="I35" authorId="0" shapeId="0">
      <text>
        <t>Source: source_register.csv
Decision date: 20 August 2026
Context: Source register row SRC-027.</t>
      </text>
    </comment>
    <comment ref="C36" authorId="0" shapeId="0">
      <text>
        <t>Source: source_register.csv
Decision date: 20 August 2026
Context: Source register row SRC-028.</t>
      </text>
    </comment>
    <comment ref="D36" authorId="0" shapeId="0">
      <text>
        <t>Source: source_register.csv
Decision date: 20 August 2026
Context: Source register row SRC-028.</t>
      </text>
    </comment>
    <comment ref="E36" authorId="0" shapeId="0">
      <text>
        <t>Source: source_register.csv
Decision date: 20 August 2026
Context: Source register row SRC-028.</t>
      </text>
    </comment>
    <comment ref="F36" authorId="0" shapeId="0">
      <text>
        <t>Source: source_register.csv
Decision date: 20 August 2026
Context: Source register row SRC-028.</t>
      </text>
    </comment>
    <comment ref="G36" authorId="0" shapeId="0">
      <text>
        <t>Source: source_register.csv
Decision date: 20 August 2026
Context: Source register row SRC-028.</t>
      </text>
    </comment>
    <comment ref="H36" authorId="0" shapeId="0">
      <text>
        <t>Source: source_register.csv
Decision date: 20 August 2026
Context: Source register row SRC-028.</t>
      </text>
    </comment>
    <comment ref="I36" authorId="0" shapeId="0">
      <text>
        <t>Source: source_register.csv
Decision date: 20 August 2026
Context: Source register row SRC-028.</t>
      </text>
    </comment>
    <comment ref="C37" authorId="0" shapeId="0">
      <text>
        <t>Source: source_register.csv
Decision date: 20 August 2026
Context: Source register row SRC-029.</t>
      </text>
    </comment>
    <comment ref="D37" authorId="0" shapeId="0">
      <text>
        <t>Source: source_register.csv
Decision date: 20 August 2026
Context: Source register row SRC-029.</t>
      </text>
    </comment>
    <comment ref="E37" authorId="0" shapeId="0">
      <text>
        <t>Source: source_register.csv
Decision date: 20 August 2026
Context: Source register row SRC-029.</t>
      </text>
    </comment>
    <comment ref="F37" authorId="0" shapeId="0">
      <text>
        <t>Source: source_register.csv
Decision date: 20 August 2026
Context: Source register row SRC-029.</t>
      </text>
    </comment>
    <comment ref="G37" authorId="0" shapeId="0">
      <text>
        <t>Source: source_register.csv
Decision date: 20 August 2026
Context: Source register row SRC-029.</t>
      </text>
    </comment>
    <comment ref="H37" authorId="0" shapeId="0">
      <text>
        <t>Source: source_register.csv
Decision date: 20 August 2026
Context: Source register row SRC-029.</t>
      </text>
    </comment>
    <comment ref="I37" authorId="0" shapeId="0">
      <text>
        <t>Source: source_register.csv
Decision date: 20 August 2026
Context: Source register row SRC-029.</t>
      </text>
    </comment>
    <comment ref="C38" authorId="0" shapeId="0">
      <text>
        <t>Source: source_register.csv
Decision date: 20 August 2026
Context: Source register row SRC-030.</t>
      </text>
    </comment>
    <comment ref="D38" authorId="0" shapeId="0">
      <text>
        <t>Source: source_register.csv
Decision date: 20 August 2026
Context: Source register row SRC-030.</t>
      </text>
    </comment>
    <comment ref="E38" authorId="0" shapeId="0">
      <text>
        <t>Source: source_register.csv
Decision date: 20 August 2026
Context: Source register row SRC-030.</t>
      </text>
    </comment>
    <comment ref="F38" authorId="0" shapeId="0">
      <text>
        <t>Source: source_register.csv
Decision date: 20 August 2026
Context: Source register row SRC-030.</t>
      </text>
    </comment>
    <comment ref="G38" authorId="0" shapeId="0">
      <text>
        <t>Source: source_register.csv
Decision date: 20 August 2026
Context: Source register row SRC-030.</t>
      </text>
    </comment>
    <comment ref="H38" authorId="0" shapeId="0">
      <text>
        <t>Source: source_register.csv
Decision date: 20 August 2026
Context: Source register row SRC-030.</t>
      </text>
    </comment>
    <comment ref="I38" authorId="0" shapeId="0">
      <text>
        <t>Source: source_register.csv
Decision date: 20 August 2026
Context: Source register row SRC-030.</t>
      </text>
    </comment>
    <comment ref="C39" authorId="0" shapeId="0">
      <text>
        <t>Source: source_register.csv
Decision date: 20 August 2026
Context: Source register row SRC-031.</t>
      </text>
    </comment>
    <comment ref="D39" authorId="0" shapeId="0">
      <text>
        <t>Source: source_register.csv
Decision date: 20 August 2026
Context: Source register row SRC-031.</t>
      </text>
    </comment>
    <comment ref="E39" authorId="0" shapeId="0">
      <text>
        <t>Source: source_register.csv
Decision date: 20 August 2026
Context: Source register row SRC-031.</t>
      </text>
    </comment>
    <comment ref="F39" authorId="0" shapeId="0">
      <text>
        <t>Source: source_register.csv
Decision date: 20 August 2026
Context: Source register row SRC-031.</t>
      </text>
    </comment>
    <comment ref="G39" authorId="0" shapeId="0">
      <text>
        <t>Source: source_register.csv
Decision date: 20 August 2026
Context: Source register row SRC-031.</t>
      </text>
    </comment>
    <comment ref="H39" authorId="0" shapeId="0">
      <text>
        <t>Source: source_register.csv
Decision date: 20 August 2026
Context: Source register row SRC-031.</t>
      </text>
    </comment>
    <comment ref="I39" authorId="0" shapeId="0">
      <text>
        <t>Source: source_register.csv
Decision date: 20 August 2026
Context: Source register row SRC-031.</t>
      </text>
    </comment>
    <comment ref="C40" authorId="0" shapeId="0">
      <text>
        <t>Source: source_register.csv
Decision date: 20 August 2026
Context: Source register row SRC-032.</t>
      </text>
    </comment>
    <comment ref="D40" authorId="0" shapeId="0">
      <text>
        <t>Source: source_register.csv
Decision date: 20 August 2026
Context: Source register row SRC-032.</t>
      </text>
    </comment>
    <comment ref="E40" authorId="0" shapeId="0">
      <text>
        <t>Source: source_register.csv
Decision date: 20 August 2026
Context: Source register row SRC-032.</t>
      </text>
    </comment>
    <comment ref="F40" authorId="0" shapeId="0">
      <text>
        <t>Source: source_register.csv
Decision date: 20 August 2026
Context: Source register row SRC-032.</t>
      </text>
    </comment>
    <comment ref="G40" authorId="0" shapeId="0">
      <text>
        <t>Source: source_register.csv
Decision date: 20 August 2026
Context: Source register row SRC-032.</t>
      </text>
    </comment>
    <comment ref="H40" authorId="0" shapeId="0">
      <text>
        <t>Source: source_register.csv
Decision date: 20 August 2026
Context: Source register row SRC-032.</t>
      </text>
    </comment>
    <comment ref="I40" authorId="0" shapeId="0">
      <text>
        <t>Source: source_register.csv
Decision date: 20 August 2026
Context: Source register row SRC-032.</t>
      </text>
    </comment>
    <comment ref="C41" authorId="0" shapeId="0">
      <text>
        <t>Source: source_register.csv
Decision date: 20 August 2026
Context: Source register row SRC-033.</t>
      </text>
    </comment>
    <comment ref="D41" authorId="0" shapeId="0">
      <text>
        <t>Source: source_register.csv
Decision date: 20 August 2026
Context: Source register row SRC-033.</t>
      </text>
    </comment>
    <comment ref="E41" authorId="0" shapeId="0">
      <text>
        <t>Source: source_register.csv
Decision date: 20 August 2026
Context: Source register row SRC-033.</t>
      </text>
    </comment>
    <comment ref="F41" authorId="0" shapeId="0">
      <text>
        <t>Source: source_register.csv
Decision date: 20 August 2026
Context: Source register row SRC-033.</t>
      </text>
    </comment>
    <comment ref="G41" authorId="0" shapeId="0">
      <text>
        <t>Source: source_register.csv
Decision date: 20 August 2026
Context: Source register row SRC-033.</t>
      </text>
    </comment>
    <comment ref="H41" authorId="0" shapeId="0">
      <text>
        <t>Source: source_register.csv
Decision date: 20 August 2026
Context: Source register row SRC-033.</t>
      </text>
    </comment>
    <comment ref="I41" authorId="0" shapeId="0">
      <text>
        <t>Source: source_register.csv
Decision date: 20 August 2026
Context: Source register row SRC-033.</t>
      </text>
    </comment>
    <comment ref="C42" authorId="0" shapeId="0">
      <text>
        <t>Source: source_register.csv
Decision date: 20 August 2026
Context: Source register row SRC-034.</t>
      </text>
    </comment>
    <comment ref="D42" authorId="0" shapeId="0">
      <text>
        <t>Source: source_register.csv
Decision date: 20 August 2026
Context: Source register row SRC-034.</t>
      </text>
    </comment>
    <comment ref="E42" authorId="0" shapeId="0">
      <text>
        <t>Source: source_register.csv
Decision date: 20 August 2026
Context: Source register row SRC-034.</t>
      </text>
    </comment>
    <comment ref="F42" authorId="0" shapeId="0">
      <text>
        <t>Source: source_register.csv
Decision date: 20 August 2026
Context: Source register row SRC-034.</t>
      </text>
    </comment>
    <comment ref="G42" authorId="0" shapeId="0">
      <text>
        <t>Source: source_register.csv
Decision date: 20 August 2026
Context: Source register row SRC-034.</t>
      </text>
    </comment>
    <comment ref="H42" authorId="0" shapeId="0">
      <text>
        <t>Source: source_register.csv
Decision date: 20 August 2026
Context: Source register row SRC-034.</t>
      </text>
    </comment>
    <comment ref="I42" authorId="0" shapeId="0">
      <text>
        <t>Source: source_register.csv
Decision date: 20 August 2026
Context: Source register row SRC-034.</t>
      </text>
    </comment>
    <comment ref="C43" authorId="0" shapeId="0">
      <text>
        <t>Source: source_register.csv
Decision date: 20 August 2026
Context: Source register row SRC-035.</t>
      </text>
    </comment>
    <comment ref="D43" authorId="0" shapeId="0">
      <text>
        <t>Source: source_register.csv
Decision date: 20 August 2026
Context: Source register row SRC-035.</t>
      </text>
    </comment>
    <comment ref="E43" authorId="0" shapeId="0">
      <text>
        <t>Source: source_register.csv
Decision date: 20 August 2026
Context: Source register row SRC-035.</t>
      </text>
    </comment>
    <comment ref="F43" authorId="0" shapeId="0">
      <text>
        <t>Source: source_register.csv
Decision date: 20 August 2026
Context: Source register row SRC-035.</t>
      </text>
    </comment>
    <comment ref="G43" authorId="0" shapeId="0">
      <text>
        <t>Source: source_register.csv
Decision date: 20 August 2026
Context: Source register row SRC-035.</t>
      </text>
    </comment>
    <comment ref="H43" authorId="0" shapeId="0">
      <text>
        <t>Source: source_register.csv
Decision date: 20 August 2026
Context: Source register row SRC-035.</t>
      </text>
    </comment>
    <comment ref="I43" authorId="0" shapeId="0">
      <text>
        <t>Source: source_register.csv
Decision date: 20 August 2026
Context: Source register row SRC-035.</t>
      </text>
    </comment>
    <comment ref="C44" authorId="0" shapeId="0">
      <text>
        <t>Source: source_register.csv
Decision date: 20 August 2026
Context: Source register row SRC-036.</t>
      </text>
    </comment>
    <comment ref="D44" authorId="0" shapeId="0">
      <text>
        <t>Source: source_register.csv
Decision date: 20 August 2026
Context: Source register row SRC-036.</t>
      </text>
    </comment>
    <comment ref="E44" authorId="0" shapeId="0">
      <text>
        <t>Source: source_register.csv
Decision date: 20 August 2026
Context: Source register row SRC-036.</t>
      </text>
    </comment>
    <comment ref="F44" authorId="0" shapeId="0">
      <text>
        <t>Source: source_register.csv
Decision date: 20 August 2026
Context: Source register row SRC-036.</t>
      </text>
    </comment>
    <comment ref="G44" authorId="0" shapeId="0">
      <text>
        <t>Source: source_register.csv
Decision date: 20 August 2026
Context: Source register row SRC-036.</t>
      </text>
    </comment>
    <comment ref="H44" authorId="0" shapeId="0">
      <text>
        <t>Source: source_register.csv
Decision date: 20 August 2026
Context: Source register row SRC-036.</t>
      </text>
    </comment>
    <comment ref="I44" authorId="0" shapeId="0">
      <text>
        <t>Source: source_register.csv
Decision date: 20 August 2026
Context: Source register row SRC-036.</t>
      </text>
    </comment>
    <comment ref="C45" authorId="0" shapeId="0">
      <text>
        <t>Source: source_register.csv
Decision date: 20 August 2026
Context: Source register row SRC-037.</t>
      </text>
    </comment>
    <comment ref="D45" authorId="0" shapeId="0">
      <text>
        <t>Source: source_register.csv
Decision date: 20 August 2026
Context: Source register row SRC-037.</t>
      </text>
    </comment>
    <comment ref="E45" authorId="0" shapeId="0">
      <text>
        <t>Source: source_register.csv
Decision date: 20 August 2026
Context: Source register row SRC-037.</t>
      </text>
    </comment>
    <comment ref="F45" authorId="0" shapeId="0">
      <text>
        <t>Source: source_register.csv
Decision date: 20 August 2026
Context: Source register row SRC-037.</t>
      </text>
    </comment>
    <comment ref="G45" authorId="0" shapeId="0">
      <text>
        <t>Source: source_register.csv
Decision date: 20 August 2026
Context: Source register row SRC-037.</t>
      </text>
    </comment>
    <comment ref="H45" authorId="0" shapeId="0">
      <text>
        <t>Source: source_register.csv
Decision date: 20 August 2026
Context: Source register row SRC-037.</t>
      </text>
    </comment>
    <comment ref="I45" authorId="0" shapeId="0">
      <text>
        <t>Source: source_register.csv
Decision date: 20 August 2026
Context: Source register row SRC-037.</t>
      </text>
    </comment>
    <comment ref="C46" authorId="0" shapeId="0">
      <text>
        <t>Source: source_register.csv
Decision date: 20 August 2026
Context: Source register row SRC-038.</t>
      </text>
    </comment>
    <comment ref="D46" authorId="0" shapeId="0">
      <text>
        <t>Source: source_register.csv
Decision date: 20 August 2026
Context: Source register row SRC-038.</t>
      </text>
    </comment>
    <comment ref="E46" authorId="0" shapeId="0">
      <text>
        <t>Source: source_register.csv
Decision date: 20 August 2026
Context: Source register row SRC-038.</t>
      </text>
    </comment>
    <comment ref="F46" authorId="0" shapeId="0">
      <text>
        <t>Source: source_register.csv
Decision date: 20 August 2026
Context: Source register row SRC-038.</t>
      </text>
    </comment>
    <comment ref="G46" authorId="0" shapeId="0">
      <text>
        <t>Source: source_register.csv
Decision date: 20 August 2026
Context: Source register row SRC-038.</t>
      </text>
    </comment>
    <comment ref="H46" authorId="0" shapeId="0">
      <text>
        <t>Source: source_register.csv
Decision date: 20 August 2026
Context: Source register row SRC-038.</t>
      </text>
    </comment>
    <comment ref="I46" authorId="0" shapeId="0">
      <text>
        <t>Source: source_register.csv
Decision date: 20 August 2026
Context: Source register row SRC-038.</t>
      </text>
    </comment>
    <comment ref="C47" authorId="0" shapeId="0">
      <text>
        <t>Source: source_register.csv
Decision date: 20 August 2026
Context: Source register row SRC-039.</t>
      </text>
    </comment>
    <comment ref="D47" authorId="0" shapeId="0">
      <text>
        <t>Source: source_register.csv
Decision date: 20 August 2026
Context: Source register row SRC-039.</t>
      </text>
    </comment>
    <comment ref="E47" authorId="0" shapeId="0">
      <text>
        <t>Source: source_register.csv
Decision date: 20 August 2026
Context: Source register row SRC-039.</t>
      </text>
    </comment>
    <comment ref="F47" authorId="0" shapeId="0">
      <text>
        <t>Source: source_register.csv
Decision date: 20 August 2026
Context: Source register row SRC-039.</t>
      </text>
    </comment>
    <comment ref="G47" authorId="0" shapeId="0">
      <text>
        <t>Source: source_register.csv
Decision date: 20 August 2026
Context: Source register row SRC-039.</t>
      </text>
    </comment>
    <comment ref="H47" authorId="0" shapeId="0">
      <text>
        <t>Source: source_register.csv
Decision date: 20 August 2026
Context: Source register row SRC-039.</t>
      </text>
    </comment>
    <comment ref="I47" authorId="0" shapeId="0">
      <text>
        <t>Source: source_register.csv
Decision date: 20 August 2026
Context: Source register row SRC-039.</t>
      </text>
    </comment>
    <comment ref="C48" authorId="0" shapeId="0">
      <text>
        <t>Source: source_register.csv
Decision date: 20 August 2026
Context: Source register row SRC-040.</t>
      </text>
    </comment>
    <comment ref="D48" authorId="0" shapeId="0">
      <text>
        <t>Source: source_register.csv
Decision date: 20 August 2026
Context: Source register row SRC-040.</t>
      </text>
    </comment>
    <comment ref="E48" authorId="0" shapeId="0">
      <text>
        <t>Source: source_register.csv
Decision date: 20 August 2026
Context: Source register row SRC-040.</t>
      </text>
    </comment>
    <comment ref="F48" authorId="0" shapeId="0">
      <text>
        <t>Source: source_register.csv
Decision date: 20 August 2026
Context: Source register row SRC-040.</t>
      </text>
    </comment>
    <comment ref="G48" authorId="0" shapeId="0">
      <text>
        <t>Source: source_register.csv
Decision date: 20 August 2026
Context: Source register row SRC-040.</t>
      </text>
    </comment>
    <comment ref="H48" authorId="0" shapeId="0">
      <text>
        <t>Source: source_register.csv
Decision date: 20 August 2026
Context: Source register row SRC-040.</t>
      </text>
    </comment>
    <comment ref="I48" authorId="0" shapeId="0">
      <text>
        <t>Source: source_register.csv
Decision date: 20 August 2026
Context: Source register row SRC-040.</t>
      </text>
    </comment>
    <comment ref="C49" authorId="0" shapeId="0">
      <text>
        <t>Source: source_register.csv
Decision date: 20 August 2026
Context: Source register row SRC-041.</t>
      </text>
    </comment>
    <comment ref="D49" authorId="0" shapeId="0">
      <text>
        <t>Source: source_register.csv
Decision date: 20 August 2026
Context: Source register row SRC-041.</t>
      </text>
    </comment>
    <comment ref="E49" authorId="0" shapeId="0">
      <text>
        <t>Source: source_register.csv
Decision date: 20 August 2026
Context: Source register row SRC-041.</t>
      </text>
    </comment>
    <comment ref="F49" authorId="0" shapeId="0">
      <text>
        <t>Source: source_register.csv
Decision date: 20 August 2026
Context: Source register row SRC-041.</t>
      </text>
    </comment>
    <comment ref="G49" authorId="0" shapeId="0">
      <text>
        <t>Source: source_register.csv
Decision date: 20 August 2026
Context: Source register row SRC-041.</t>
      </text>
    </comment>
    <comment ref="H49" authorId="0" shapeId="0">
      <text>
        <t>Source: source_register.csv
Decision date: 20 August 2026
Context: Source register row SRC-041.</t>
      </text>
    </comment>
    <comment ref="I49" authorId="0" shapeId="0">
      <text>
        <t>Source: source_register.csv
Decision date: 20 August 2026
Context: Source register row SRC-041.</t>
      </text>
    </comment>
    <comment ref="C50" authorId="0" shapeId="0">
      <text>
        <t>Source: source_register.csv
Decision date: 20 August 2026
Context: Source register row SRC-042.</t>
      </text>
    </comment>
    <comment ref="D50" authorId="0" shapeId="0">
      <text>
        <t>Source: source_register.csv
Decision date: 20 August 2026
Context: Source register row SRC-042.</t>
      </text>
    </comment>
    <comment ref="E50" authorId="0" shapeId="0">
      <text>
        <t>Source: source_register.csv
Decision date: 20 August 2026
Context: Source register row SRC-042.</t>
      </text>
    </comment>
    <comment ref="F50" authorId="0" shapeId="0">
      <text>
        <t>Source: source_register.csv
Decision date: 20 August 2026
Context: Source register row SRC-042.</t>
      </text>
    </comment>
    <comment ref="G50" authorId="0" shapeId="0">
      <text>
        <t>Source: source_register.csv
Decision date: 20 August 2026
Context: Source register row SRC-042.</t>
      </text>
    </comment>
    <comment ref="H50" authorId="0" shapeId="0">
      <text>
        <t>Source: source_register.csv
Decision date: 20 August 2026
Context: Source register row SRC-042.</t>
      </text>
    </comment>
    <comment ref="I50" authorId="0" shapeId="0">
      <text>
        <t>Source: source_register.csv
Decision date: 20 August 2026
Context: Source register row SRC-042.</t>
      </text>
    </comment>
    <comment ref="C51" authorId="0" shapeId="0">
      <text>
        <t>Source: source_register.csv
Decision date: 20 August 2026
Context: Source register row SRC-043.</t>
      </text>
    </comment>
    <comment ref="D51" authorId="0" shapeId="0">
      <text>
        <t>Source: source_register.csv
Decision date: 20 August 2026
Context: Source register row SRC-043.</t>
      </text>
    </comment>
    <comment ref="E51" authorId="0" shapeId="0">
      <text>
        <t>Source: source_register.csv
Decision date: 20 August 2026
Context: Source register row SRC-043.</t>
      </text>
    </comment>
    <comment ref="F51" authorId="0" shapeId="0">
      <text>
        <t>Source: source_register.csv
Decision date: 20 August 2026
Context: Source register row SRC-043.</t>
      </text>
    </comment>
    <comment ref="G51" authorId="0" shapeId="0">
      <text>
        <t>Source: source_register.csv
Decision date: 20 August 2026
Context: Source register row SRC-043.</t>
      </text>
    </comment>
    <comment ref="H51" authorId="0" shapeId="0">
      <text>
        <t>Source: source_register.csv
Decision date: 20 August 2026
Context: Source register row SRC-043.</t>
      </text>
    </comment>
    <comment ref="I51" authorId="0" shapeId="0">
      <text>
        <t>Source: source_register.csv
Decision date: 20 August 2026
Context: Source register row SRC-043.</t>
      </text>
    </comment>
    <comment ref="C52" authorId="0" shapeId="0">
      <text>
        <t>Source: source_register.csv
Decision date: 20 August 2026
Context: Source register row SRC-044.</t>
      </text>
    </comment>
    <comment ref="D52" authorId="0" shapeId="0">
      <text>
        <t>Source: source_register.csv
Decision date: 20 August 2026
Context: Source register row SRC-044.</t>
      </text>
    </comment>
    <comment ref="E52" authorId="0" shapeId="0">
      <text>
        <t>Source: source_register.csv
Decision date: 20 August 2026
Context: Source register row SRC-044.</t>
      </text>
    </comment>
    <comment ref="F52" authorId="0" shapeId="0">
      <text>
        <t>Source: source_register.csv
Decision date: 20 August 2026
Context: Source register row SRC-044.</t>
      </text>
    </comment>
    <comment ref="G52" authorId="0" shapeId="0">
      <text>
        <t>Source: source_register.csv
Decision date: 20 August 2026
Context: Source register row SRC-044.</t>
      </text>
    </comment>
    <comment ref="H52" authorId="0" shapeId="0">
      <text>
        <t>Source: source_register.csv
Decision date: 20 August 2026
Context: Source register row SRC-044.</t>
      </text>
    </comment>
    <comment ref="I52" authorId="0" shapeId="0">
      <text>
        <t>Source: source_register.csv
Decision date: 20 August 2026
Context: Source register row SRC-044.</t>
      </text>
    </comment>
    <comment ref="C53" authorId="0" shapeId="0">
      <text>
        <t>Source: source_register.csv
Decision date: 20 August 2026
Context: Source register row SRC-045.</t>
      </text>
    </comment>
    <comment ref="D53" authorId="0" shapeId="0">
      <text>
        <t>Source: source_register.csv
Decision date: 20 August 2026
Context: Source register row SRC-045.</t>
      </text>
    </comment>
    <comment ref="E53" authorId="0" shapeId="0">
      <text>
        <t>Source: source_register.csv
Decision date: 20 August 2026
Context: Source register row SRC-045.</t>
      </text>
    </comment>
    <comment ref="F53" authorId="0" shapeId="0">
      <text>
        <t>Source: source_register.csv
Decision date: 20 August 2026
Context: Source register row SRC-045.</t>
      </text>
    </comment>
    <comment ref="G53" authorId="0" shapeId="0">
      <text>
        <t>Source: source_register.csv
Decision date: 20 August 2026
Context: Source register row SRC-045.</t>
      </text>
    </comment>
    <comment ref="H53" authorId="0" shapeId="0">
      <text>
        <t>Source: source_register.csv
Decision date: 20 August 2026
Context: Source register row SRC-045.</t>
      </text>
    </comment>
    <comment ref="I53" authorId="0" shapeId="0">
      <text>
        <t>Source: source_register.csv
Decision date: 20 August 2026
Context: Source register row SRC-045.</t>
      </text>
    </comment>
    <comment ref="C54" authorId="0" shapeId="0">
      <text>
        <t>Source: source_register.csv
Decision date: 20 August 2026
Context: Source register row SRC-046.</t>
      </text>
    </comment>
    <comment ref="D54" authorId="0" shapeId="0">
      <text>
        <t>Source: source_register.csv
Decision date: 20 August 2026
Context: Source register row SRC-046.</t>
      </text>
    </comment>
    <comment ref="E54" authorId="0" shapeId="0">
      <text>
        <t>Source: source_register.csv
Decision date: 20 August 2026
Context: Source register row SRC-046.</t>
      </text>
    </comment>
    <comment ref="F54" authorId="0" shapeId="0">
      <text>
        <t>Source: source_register.csv
Decision date: 20 August 2026
Context: Source register row SRC-046.</t>
      </text>
    </comment>
    <comment ref="G54" authorId="0" shapeId="0">
      <text>
        <t>Source: source_register.csv
Decision date: 20 August 2026
Context: Source register row SRC-046.</t>
      </text>
    </comment>
    <comment ref="H54" authorId="0" shapeId="0">
      <text>
        <t>Source: source_register.csv
Decision date: 20 August 2026
Context: Source register row SRC-046.</t>
      </text>
    </comment>
    <comment ref="I54" authorId="0" shapeId="0">
      <text>
        <t>Source: source_register.csv
Decision date: 20 August 2026
Context: Source register row SRC-046.</t>
      </text>
    </comment>
    <comment ref="C55" authorId="0" shapeId="0">
      <text>
        <t>Source: source_register.csv
Decision date: 20 August 2026
Context: Source register row SRC-047.</t>
      </text>
    </comment>
    <comment ref="D55" authorId="0" shapeId="0">
      <text>
        <t>Source: source_register.csv
Decision date: 20 August 2026
Context: Source register row SRC-047.</t>
      </text>
    </comment>
    <comment ref="E55" authorId="0" shapeId="0">
      <text>
        <t>Source: source_register.csv
Decision date: 20 August 2026
Context: Source register row SRC-047.</t>
      </text>
    </comment>
    <comment ref="F55" authorId="0" shapeId="0">
      <text>
        <t>Source: source_register.csv
Decision date: 20 August 2026
Context: Source register row SRC-047.</t>
      </text>
    </comment>
    <comment ref="G55" authorId="0" shapeId="0">
      <text>
        <t>Source: source_register.csv
Decision date: 20 August 2026
Context: Source register row SRC-047.</t>
      </text>
    </comment>
    <comment ref="H55" authorId="0" shapeId="0">
      <text>
        <t>Source: source_register.csv
Decision date: 20 August 2026
Context: Source register row SRC-047.</t>
      </text>
    </comment>
    <comment ref="I55" authorId="0" shapeId="0">
      <text>
        <t>Source: source_register.csv
Decision date: 20 August 2026
Context: Source register row SRC-047.</t>
      </text>
    </comment>
    <comment ref="C56" authorId="0" shapeId="0">
      <text>
        <t>Source: source_register.csv
Decision date: 20 August 2026
Context: Source register row SRC-048.</t>
      </text>
    </comment>
    <comment ref="D56" authorId="0" shapeId="0">
      <text>
        <t>Source: source_register.csv
Decision date: 20 August 2026
Context: Source register row SRC-048.</t>
      </text>
    </comment>
    <comment ref="E56" authorId="0" shapeId="0">
      <text>
        <t>Source: source_register.csv
Decision date: 20 August 2026
Context: Source register row SRC-048.</t>
      </text>
    </comment>
    <comment ref="F56" authorId="0" shapeId="0">
      <text>
        <t>Source: source_register.csv
Decision date: 20 August 2026
Context: Source register row SRC-048.</t>
      </text>
    </comment>
    <comment ref="G56" authorId="0" shapeId="0">
      <text>
        <t>Source: source_register.csv
Decision date: 20 August 2026
Context: Source register row SRC-048.</t>
      </text>
    </comment>
    <comment ref="H56" authorId="0" shapeId="0">
      <text>
        <t>Source: source_register.csv
Decision date: 20 August 2026
Context: Source register row SRC-048.</t>
      </text>
    </comment>
    <comment ref="I56" authorId="0" shapeId="0">
      <text>
        <t>Source: source_register.csv
Decision date: 20 August 2026
Context: Source register row SRC-048.</t>
      </text>
    </comment>
    <comment ref="C57" authorId="0" shapeId="0">
      <text>
        <t>Source: source_register.csv
Decision date: 20 August 2026
Context: Source register row SRC-049.</t>
      </text>
    </comment>
    <comment ref="D57" authorId="0" shapeId="0">
      <text>
        <t>Source: source_register.csv
Decision date: 20 August 2026
Context: Source register row SRC-049.</t>
      </text>
    </comment>
    <comment ref="E57" authorId="0" shapeId="0">
      <text>
        <t>Source: source_register.csv
Decision date: 20 August 2026
Context: Source register row SRC-049.</t>
      </text>
    </comment>
    <comment ref="F57" authorId="0" shapeId="0">
      <text>
        <t>Source: source_register.csv
Decision date: 20 August 2026
Context: Source register row SRC-049.</t>
      </text>
    </comment>
    <comment ref="G57" authorId="0" shapeId="0">
      <text>
        <t>Source: source_register.csv
Decision date: 20 August 2026
Context: Source register row SRC-049.</t>
      </text>
    </comment>
    <comment ref="H57" authorId="0" shapeId="0">
      <text>
        <t>Source: source_register.csv
Decision date: 20 August 2026
Context: Source register row SRC-049.</t>
      </text>
    </comment>
    <comment ref="I57" authorId="0" shapeId="0">
      <text>
        <t>Source: source_register.csv
Decision date: 20 August 2026
Context: Source register row SRC-049.</t>
      </text>
    </comment>
    <comment ref="C58" authorId="0" shapeId="0">
      <text>
        <t>Source: source_register.csv
Decision date: 20 August 2026
Context: Source register row SRC-050.</t>
      </text>
    </comment>
    <comment ref="D58" authorId="0" shapeId="0">
      <text>
        <t>Source: source_register.csv
Decision date: 20 August 2026
Context: Source register row SRC-050.</t>
      </text>
    </comment>
    <comment ref="E58" authorId="0" shapeId="0">
      <text>
        <t>Source: source_register.csv
Decision date: 20 August 2026
Context: Source register row SRC-050.</t>
      </text>
    </comment>
    <comment ref="F58" authorId="0" shapeId="0">
      <text>
        <t>Source: source_register.csv
Decision date: 20 August 2026
Context: Source register row SRC-050.</t>
      </text>
    </comment>
    <comment ref="G58" authorId="0" shapeId="0">
      <text>
        <t>Source: source_register.csv
Decision date: 20 August 2026
Context: Source register row SRC-050.</t>
      </text>
    </comment>
    <comment ref="H58" authorId="0" shapeId="0">
      <text>
        <t>Source: source_register.csv
Decision date: 20 August 2026
Context: Source register row SRC-050.</t>
      </text>
    </comment>
    <comment ref="I58" authorId="0" shapeId="0">
      <text>
        <t>Source: source_register.csv
Decision date: 20 August 2026
Context: Source register row SRC-050.</t>
      </text>
    </comment>
    <comment ref="C59" authorId="0" shapeId="0">
      <text>
        <t>Source: source_register.csv
Decision date: 20 August 2026
Context: Source register row SRC-051.</t>
      </text>
    </comment>
    <comment ref="D59" authorId="0" shapeId="0">
      <text>
        <t>Source: source_register.csv
Decision date: 20 August 2026
Context: Source register row SRC-051.</t>
      </text>
    </comment>
    <comment ref="E59" authorId="0" shapeId="0">
      <text>
        <t>Source: source_register.csv
Decision date: 20 August 2026
Context: Source register row SRC-051.</t>
      </text>
    </comment>
    <comment ref="F59" authorId="0" shapeId="0">
      <text>
        <t>Source: source_register.csv
Decision date: 20 August 2026
Context: Source register row SRC-051.</t>
      </text>
    </comment>
    <comment ref="G59" authorId="0" shapeId="0">
      <text>
        <t>Source: source_register.csv
Decision date: 20 August 2026
Context: Source register row SRC-051.</t>
      </text>
    </comment>
    <comment ref="H59" authorId="0" shapeId="0">
      <text>
        <t>Source: source_register.csv
Decision date: 20 August 2026
Context: Source register row SRC-051.</t>
      </text>
    </comment>
    <comment ref="I59" authorId="0" shapeId="0">
      <text>
        <t>Source: source_register.csv
Decision date: 20 August 2026
Context: Source register row SRC-051.</t>
      </text>
    </comment>
    <comment ref="C60" authorId="0" shapeId="0">
      <text>
        <t>Source: source_register.csv
Decision date: 20 August 2026
Context: Source register row SRC-052.</t>
      </text>
    </comment>
    <comment ref="D60" authorId="0" shapeId="0">
      <text>
        <t>Source: source_register.csv
Decision date: 20 August 2026
Context: Source register row SRC-052.</t>
      </text>
    </comment>
    <comment ref="E60" authorId="0" shapeId="0">
      <text>
        <t>Source: source_register.csv
Decision date: 20 August 2026
Context: Source register row SRC-052.</t>
      </text>
    </comment>
    <comment ref="F60" authorId="0" shapeId="0">
      <text>
        <t>Source: source_register.csv
Decision date: 20 August 2026
Context: Source register row SRC-052.</t>
      </text>
    </comment>
    <comment ref="G60" authorId="0" shapeId="0">
      <text>
        <t>Source: source_register.csv
Decision date: 20 August 2026
Context: Source register row SRC-052.</t>
      </text>
    </comment>
    <comment ref="H60" authorId="0" shapeId="0">
      <text>
        <t>Source: source_register.csv
Decision date: 20 August 2026
Context: Source register row SRC-052.</t>
      </text>
    </comment>
    <comment ref="I60" authorId="0" shapeId="0">
      <text>
        <t>Source: source_register.csv
Decision date: 20 August 2026
Context: Source register row SRC-052.</t>
      </text>
    </comment>
    <comment ref="C61" authorId="0" shapeId="0">
      <text>
        <t>Source: source_register.csv
Decision date: 20 August 2026
Context: Source register row SRC-053.</t>
      </text>
    </comment>
    <comment ref="D61" authorId="0" shapeId="0">
      <text>
        <t>Source: source_register.csv
Decision date: 20 August 2026
Context: Source register row SRC-053.</t>
      </text>
    </comment>
    <comment ref="E61" authorId="0" shapeId="0">
      <text>
        <t>Source: source_register.csv
Decision date: 20 August 2026
Context: Source register row SRC-053.</t>
      </text>
    </comment>
    <comment ref="F61" authorId="0" shapeId="0">
      <text>
        <t>Source: source_register.csv
Decision date: 20 August 2026
Context: Source register row SRC-053.</t>
      </text>
    </comment>
    <comment ref="G61" authorId="0" shapeId="0">
      <text>
        <t>Source: source_register.csv
Decision date: 20 August 2026
Context: Source register row SRC-053.</t>
      </text>
    </comment>
    <comment ref="H61" authorId="0" shapeId="0">
      <text>
        <t>Source: source_register.csv
Decision date: 20 August 2026
Context: Source register row SRC-053.</t>
      </text>
    </comment>
    <comment ref="I61" authorId="0" shapeId="0">
      <text>
        <t>Source: source_register.csv
Decision date: 20 August 2026
Context: Source register row SRC-053.</t>
      </text>
    </comment>
    <comment ref="C62" authorId="0" shapeId="0">
      <text>
        <t>Source: source_register.csv
Decision date: 20 August 2026
Context: Source register row SRC-054.</t>
      </text>
    </comment>
    <comment ref="D62" authorId="0" shapeId="0">
      <text>
        <t>Source: source_register.csv
Decision date: 20 August 2026
Context: Source register row SRC-054.</t>
      </text>
    </comment>
    <comment ref="E62" authorId="0" shapeId="0">
      <text>
        <t>Source: source_register.csv
Decision date: 20 August 2026
Context: Source register row SRC-054.</t>
      </text>
    </comment>
    <comment ref="F62" authorId="0" shapeId="0">
      <text>
        <t>Source: source_register.csv
Decision date: 20 August 2026
Context: Source register row SRC-054.</t>
      </text>
    </comment>
    <comment ref="G62" authorId="0" shapeId="0">
      <text>
        <t>Source: source_register.csv
Decision date: 20 August 2026
Context: Source register row SRC-054.</t>
      </text>
    </comment>
    <comment ref="H62" authorId="0" shapeId="0">
      <text>
        <t>Source: source_register.csv
Decision date: 20 August 2026
Context: Source register row SRC-054.</t>
      </text>
    </comment>
    <comment ref="I62" authorId="0" shapeId="0">
      <text>
        <t>Source: source_register.csv
Decision date: 20 August 2026
Context: Source register row SRC-054.</t>
      </text>
    </comment>
    <comment ref="C63" authorId="0" shapeId="0">
      <text>
        <t>Source: source_register.csv
Decision date: 20 August 2026
Context: Source register row SRC-055.</t>
      </text>
    </comment>
    <comment ref="D63" authorId="0" shapeId="0">
      <text>
        <t>Source: source_register.csv
Decision date: 20 August 2026
Context: Source register row SRC-055.</t>
      </text>
    </comment>
    <comment ref="E63" authorId="0" shapeId="0">
      <text>
        <t>Source: source_register.csv
Decision date: 20 August 2026
Context: Source register row SRC-055.</t>
      </text>
    </comment>
    <comment ref="F63" authorId="0" shapeId="0">
      <text>
        <t>Source: source_register.csv
Decision date: 20 August 2026
Context: Source register row SRC-055.</t>
      </text>
    </comment>
    <comment ref="G63" authorId="0" shapeId="0">
      <text>
        <t>Source: source_register.csv
Decision date: 20 August 2026
Context: Source register row SRC-055.</t>
      </text>
    </comment>
    <comment ref="H63" authorId="0" shapeId="0">
      <text>
        <t>Source: source_register.csv
Decision date: 20 August 2026
Context: Source register row SRC-055.</t>
      </text>
    </comment>
    <comment ref="I63" authorId="0" shapeId="0">
      <text>
        <t>Source: source_register.csv
Decision date: 20 August 2026
Context: Source register row SRC-055.</t>
      </text>
    </comment>
    <comment ref="C64" authorId="0" shapeId="0">
      <text>
        <t>Source: source_register.csv
Decision date: 20 August 2026
Context: Source register row SRC-056.</t>
      </text>
    </comment>
    <comment ref="D64" authorId="0" shapeId="0">
      <text>
        <t>Source: source_register.csv
Decision date: 20 August 2026
Context: Source register row SRC-056.</t>
      </text>
    </comment>
    <comment ref="E64" authorId="0" shapeId="0">
      <text>
        <t>Source: source_register.csv
Decision date: 20 August 2026
Context: Source register row SRC-056.</t>
      </text>
    </comment>
    <comment ref="F64" authorId="0" shapeId="0">
      <text>
        <t>Source: source_register.csv
Decision date: 20 August 2026
Context: Source register row SRC-056.</t>
      </text>
    </comment>
    <comment ref="G64" authorId="0" shapeId="0">
      <text>
        <t>Source: source_register.csv
Decision date: 20 August 2026
Context: Source register row SRC-056.</t>
      </text>
    </comment>
    <comment ref="H64" authorId="0" shapeId="0">
      <text>
        <t>Source: source_register.csv
Decision date: 20 August 2026
Context: Source register row SRC-056.</t>
      </text>
    </comment>
    <comment ref="I64" authorId="0" shapeId="0">
      <text>
        <t>Source: source_register.csv
Decision date: 20 August 2026
Context: Source register row SRC-056.</t>
      </text>
    </comment>
    <comment ref="C65" authorId="0" shapeId="0">
      <text>
        <t>Source: source_register.csv
Decision date: 20 August 2026
Context: Source register row SRC-057.</t>
      </text>
    </comment>
    <comment ref="D65" authorId="0" shapeId="0">
      <text>
        <t>Source: source_register.csv
Decision date: 20 August 2026
Context: Source register row SRC-057.</t>
      </text>
    </comment>
    <comment ref="E65" authorId="0" shapeId="0">
      <text>
        <t>Source: source_register.csv
Decision date: 20 August 2026
Context: Source register row SRC-057.</t>
      </text>
    </comment>
    <comment ref="F65" authorId="0" shapeId="0">
      <text>
        <t>Source: source_register.csv
Decision date: 20 August 2026
Context: Source register row SRC-057.</t>
      </text>
    </comment>
    <comment ref="G65" authorId="0" shapeId="0">
      <text>
        <t>Source: source_register.csv
Decision date: 20 August 2026
Context: Source register row SRC-057.</t>
      </text>
    </comment>
    <comment ref="H65" authorId="0" shapeId="0">
      <text>
        <t>Source: source_register.csv
Decision date: 20 August 2026
Context: Source register row SRC-057.</t>
      </text>
    </comment>
    <comment ref="I65" authorId="0" shapeId="0">
      <text>
        <t>Source: source_register.csv
Decision date: 20 August 2026
Context: Source register row SRC-057.</t>
      </text>
    </comment>
    <comment ref="C66" authorId="0" shapeId="0">
      <text>
        <t>Source: source_register.csv
Decision date: 20 August 2026
Context: Source register row SRC-058.</t>
      </text>
    </comment>
    <comment ref="D66" authorId="0" shapeId="0">
      <text>
        <t>Source: source_register.csv
Decision date: 20 August 2026
Context: Source register row SRC-058.</t>
      </text>
    </comment>
    <comment ref="E66" authorId="0" shapeId="0">
      <text>
        <t>Source: source_register.csv
Decision date: 20 August 2026
Context: Source register row SRC-058.</t>
      </text>
    </comment>
    <comment ref="F66" authorId="0" shapeId="0">
      <text>
        <t>Source: source_register.csv
Decision date: 20 August 2026
Context: Source register row SRC-058.</t>
      </text>
    </comment>
    <comment ref="G66" authorId="0" shapeId="0">
      <text>
        <t>Source: source_register.csv
Decision date: 20 August 2026
Context: Source register row SRC-058.</t>
      </text>
    </comment>
    <comment ref="H66" authorId="0" shapeId="0">
      <text>
        <t>Source: source_register.csv
Decision date: 20 August 2026
Context: Source register row SRC-058.</t>
      </text>
    </comment>
    <comment ref="I66" authorId="0" shapeId="0">
      <text>
        <t>Source: source_register.csv
Decision date: 20 August 2026
Context: Source register row SRC-058.</t>
      </text>
    </comment>
    <comment ref="C67" authorId="0" shapeId="0">
      <text>
        <t>Source: source_register.csv
Decision date: 20 August 2026
Context: Source register row SRC-059.</t>
      </text>
    </comment>
    <comment ref="D67" authorId="0" shapeId="0">
      <text>
        <t>Source: source_register.csv
Decision date: 20 August 2026
Context: Source register row SRC-059.</t>
      </text>
    </comment>
    <comment ref="E67" authorId="0" shapeId="0">
      <text>
        <t>Source: source_register.csv
Decision date: 20 August 2026
Context: Source register row SRC-059.</t>
      </text>
    </comment>
    <comment ref="F67" authorId="0" shapeId="0">
      <text>
        <t>Source: source_register.csv
Decision date: 20 August 2026
Context: Source register row SRC-059.</t>
      </text>
    </comment>
    <comment ref="G67" authorId="0" shapeId="0">
      <text>
        <t>Source: source_register.csv
Decision date: 20 August 2026
Context: Source register row SRC-059.</t>
      </text>
    </comment>
    <comment ref="H67" authorId="0" shapeId="0">
      <text>
        <t>Source: source_register.csv
Decision date: 20 August 2026
Context: Source register row SRC-059.</t>
      </text>
    </comment>
    <comment ref="I67" authorId="0" shapeId="0">
      <text>
        <t>Source: source_register.csv
Decision date: 20 August 2026
Context: Source register row SRC-059.</t>
      </text>
    </comment>
    <comment ref="C68" authorId="0" shapeId="0">
      <text>
        <t>Source: source_register.csv
Decision date: 20 August 2026
Context: Source register row SRC-060.</t>
      </text>
    </comment>
    <comment ref="D68" authorId="0" shapeId="0">
      <text>
        <t>Source: source_register.csv
Decision date: 20 August 2026
Context: Source register row SRC-060.</t>
      </text>
    </comment>
    <comment ref="E68" authorId="0" shapeId="0">
      <text>
        <t>Source: source_register.csv
Decision date: 20 August 2026
Context: Source register row SRC-060.</t>
      </text>
    </comment>
    <comment ref="F68" authorId="0" shapeId="0">
      <text>
        <t>Source: source_register.csv
Decision date: 20 August 2026
Context: Source register row SRC-060.</t>
      </text>
    </comment>
    <comment ref="G68" authorId="0" shapeId="0">
      <text>
        <t>Source: source_register.csv
Decision date: 20 August 2026
Context: Source register row SRC-060.</t>
      </text>
    </comment>
    <comment ref="H68" authorId="0" shapeId="0">
      <text>
        <t>Source: source_register.csv
Decision date: 20 August 2026
Context: Source register row SRC-060.</t>
      </text>
    </comment>
    <comment ref="I68" authorId="0" shapeId="0">
      <text>
        <t>Source: source_register.csv
Decision date: 20 August 2026
Context: Source register row SRC-060.</t>
      </text>
    </comment>
    <comment ref="C69" authorId="0" shapeId="0">
      <text>
        <t>Source: source_register.csv
Decision date: 20 August 2026
Context: Source register row SRC-061.</t>
      </text>
    </comment>
    <comment ref="D69" authorId="0" shapeId="0">
      <text>
        <t>Source: source_register.csv
Decision date: 20 August 2026
Context: Source register row SRC-061.</t>
      </text>
    </comment>
    <comment ref="E69" authorId="0" shapeId="0">
      <text>
        <t>Source: source_register.csv
Decision date: 20 August 2026
Context: Source register row SRC-061.</t>
      </text>
    </comment>
    <comment ref="F69" authorId="0" shapeId="0">
      <text>
        <t>Source: source_register.csv
Decision date: 20 August 2026
Context: Source register row SRC-061.</t>
      </text>
    </comment>
    <comment ref="G69" authorId="0" shapeId="0">
      <text>
        <t>Source: source_register.csv
Decision date: 20 August 2026
Context: Source register row SRC-061.</t>
      </text>
    </comment>
    <comment ref="H69" authorId="0" shapeId="0">
      <text>
        <t>Source: source_register.csv
Decision date: 20 August 2026
Context: Source register row SRC-061.</t>
      </text>
    </comment>
    <comment ref="I69" authorId="0" shapeId="0">
      <text>
        <t>Source: source_register.csv
Decision date: 20 August 2026
Context: Source register row SRC-061.</t>
      </text>
    </comment>
    <comment ref="C70" authorId="0" shapeId="0">
      <text>
        <t>Source: source_register.csv
Decision date: 20 August 2026
Context: Source register row SRC-062.</t>
      </text>
    </comment>
    <comment ref="D70" authorId="0" shapeId="0">
      <text>
        <t>Source: source_register.csv
Decision date: 20 August 2026
Context: Source register row SRC-062.</t>
      </text>
    </comment>
    <comment ref="E70" authorId="0" shapeId="0">
      <text>
        <t>Source: source_register.csv
Decision date: 20 August 2026
Context: Source register row SRC-062.</t>
      </text>
    </comment>
    <comment ref="F70" authorId="0" shapeId="0">
      <text>
        <t>Source: source_register.csv
Decision date: 20 August 2026
Context: Source register row SRC-062.</t>
      </text>
    </comment>
    <comment ref="G70" authorId="0" shapeId="0">
      <text>
        <t>Source: source_register.csv
Decision date: 20 August 2026
Context: Source register row SRC-062.</t>
      </text>
    </comment>
    <comment ref="H70" authorId="0" shapeId="0">
      <text>
        <t>Source: source_register.csv
Decision date: 20 August 2026
Context: Source register row SRC-062.</t>
      </text>
    </comment>
    <comment ref="I70" authorId="0" shapeId="0">
      <text>
        <t>Source: source_register.csv
Decision date: 20 August 2026
Context: Source register row SRC-062.</t>
      </text>
    </comment>
    <comment ref="C71" authorId="0" shapeId="0">
      <text>
        <t>Source: source_register.csv
Decision date: 20 August 2026
Context: Source register row SRC-063.</t>
      </text>
    </comment>
    <comment ref="D71" authorId="0" shapeId="0">
      <text>
        <t>Source: source_register.csv
Decision date: 20 August 2026
Context: Source register row SRC-063.</t>
      </text>
    </comment>
    <comment ref="E71" authorId="0" shapeId="0">
      <text>
        <t>Source: source_register.csv
Decision date: 20 August 2026
Context: Source register row SRC-063.</t>
      </text>
    </comment>
    <comment ref="F71" authorId="0" shapeId="0">
      <text>
        <t>Source: source_register.csv
Decision date: 20 August 2026
Context: Source register row SRC-063.</t>
      </text>
    </comment>
    <comment ref="G71" authorId="0" shapeId="0">
      <text>
        <t>Source: source_register.csv
Decision date: 20 August 2026
Context: Source register row SRC-063.</t>
      </text>
    </comment>
    <comment ref="H71" authorId="0" shapeId="0">
      <text>
        <t>Source: source_register.csv
Decision date: 20 August 2026
Context: Source register row SRC-063.</t>
      </text>
    </comment>
    <comment ref="I71" authorId="0" shapeId="0">
      <text>
        <t>Source: source_register.csv
Decision date: 20 August 2026
Context: Source register row SRC-063.</t>
      </text>
    </comment>
    <comment ref="C72" authorId="0" shapeId="0">
      <text>
        <t>Source: source_register.csv
Decision date: 20 August 2026
Context: Source register row SRC-064.</t>
      </text>
    </comment>
    <comment ref="D72" authorId="0" shapeId="0">
      <text>
        <t>Source: source_register.csv
Decision date: 20 August 2026
Context: Source register row SRC-064.</t>
      </text>
    </comment>
    <comment ref="E72" authorId="0" shapeId="0">
      <text>
        <t>Source: source_register.csv
Decision date: 20 August 2026
Context: Source register row SRC-064.</t>
      </text>
    </comment>
    <comment ref="F72" authorId="0" shapeId="0">
      <text>
        <t>Source: source_register.csv
Decision date: 20 August 2026
Context: Source register row SRC-064.</t>
      </text>
    </comment>
    <comment ref="G72" authorId="0" shapeId="0">
      <text>
        <t>Source: source_register.csv
Decision date: 20 August 2026
Context: Source register row SRC-064.</t>
      </text>
    </comment>
    <comment ref="H72" authorId="0" shapeId="0">
      <text>
        <t>Source: source_register.csv
Decision date: 20 August 2026
Context: Source register row SRC-064.</t>
      </text>
    </comment>
    <comment ref="I72" authorId="0" shapeId="0">
      <text>
        <t>Source: source_register.csv
Decision date: 20 August 2026
Context: Source register row SRC-064.</t>
      </text>
    </comment>
    <comment ref="C73" authorId="0" shapeId="0">
      <text>
        <t>Source: source_register.csv
Decision date: 20 August 2026
Context: Source register row SRC-065.</t>
      </text>
    </comment>
    <comment ref="D73" authorId="0" shapeId="0">
      <text>
        <t>Source: source_register.csv
Decision date: 20 August 2026
Context: Source register row SRC-065.</t>
      </text>
    </comment>
    <comment ref="E73" authorId="0" shapeId="0">
      <text>
        <t>Source: source_register.csv
Decision date: 20 August 2026
Context: Source register row SRC-065.</t>
      </text>
    </comment>
    <comment ref="F73" authorId="0" shapeId="0">
      <text>
        <t>Source: source_register.csv
Decision date: 20 August 2026
Context: Source register row SRC-065.</t>
      </text>
    </comment>
    <comment ref="G73" authorId="0" shapeId="0">
      <text>
        <t>Source: source_register.csv
Decision date: 20 August 2026
Context: Source register row SRC-065.</t>
      </text>
    </comment>
    <comment ref="H73" authorId="0" shapeId="0">
      <text>
        <t>Source: source_register.csv
Decision date: 20 August 2026
Context: Source register row SRC-065.</t>
      </text>
    </comment>
    <comment ref="I73" authorId="0" shapeId="0">
      <text>
        <t>Source: source_register.csv
Decision date: 20 August 2026
Context: Source register row SRC-065.</t>
      </text>
    </comment>
    <comment ref="C74" authorId="0" shapeId="0">
      <text>
        <t>Source: source_register.csv
Decision date: 20 August 2026
Context: Source register row SRC-066.</t>
      </text>
    </comment>
    <comment ref="D74" authorId="0" shapeId="0">
      <text>
        <t>Source: source_register.csv
Decision date: 20 August 2026
Context: Source register row SRC-066.</t>
      </text>
    </comment>
    <comment ref="E74" authorId="0" shapeId="0">
      <text>
        <t>Source: source_register.csv
Decision date: 20 August 2026
Context: Source register row SRC-066.</t>
      </text>
    </comment>
    <comment ref="F74" authorId="0" shapeId="0">
      <text>
        <t>Source: source_register.csv
Decision date: 20 August 2026
Context: Source register row SRC-066.</t>
      </text>
    </comment>
    <comment ref="G74" authorId="0" shapeId="0">
      <text>
        <t>Source: source_register.csv
Decision date: 20 August 2026
Context: Source register row SRC-066.</t>
      </text>
    </comment>
    <comment ref="H74" authorId="0" shapeId="0">
      <text>
        <t>Source: source_register.csv
Decision date: 20 August 2026
Context: Source register row SRC-066.</t>
      </text>
    </comment>
    <comment ref="I74" authorId="0" shapeId="0">
      <text>
        <t>Source: source_register.csv
Decision date: 20 August 2026
Context: Source register row SRC-066.</t>
      </text>
    </comment>
    <comment ref="C75" authorId="0" shapeId="0">
      <text>
        <t>Source: source_register.csv
Decision date: 20 August 2026
Context: Source register row SRC-067.</t>
      </text>
    </comment>
    <comment ref="D75" authorId="0" shapeId="0">
      <text>
        <t>Source: source_register.csv
Decision date: 20 August 2026
Context: Source register row SRC-067.</t>
      </text>
    </comment>
    <comment ref="E75" authorId="0" shapeId="0">
      <text>
        <t>Source: source_register.csv
Decision date: 20 August 2026
Context: Source register row SRC-067.</t>
      </text>
    </comment>
    <comment ref="F75" authorId="0" shapeId="0">
      <text>
        <t>Source: source_register.csv
Decision date: 20 August 2026
Context: Source register row SRC-067.</t>
      </text>
    </comment>
    <comment ref="G75" authorId="0" shapeId="0">
      <text>
        <t>Source: source_register.csv
Decision date: 20 August 2026
Context: Source register row SRC-067.</t>
      </text>
    </comment>
    <comment ref="H75" authorId="0" shapeId="0">
      <text>
        <t>Source: source_register.csv
Decision date: 20 August 2026
Context: Source register row SRC-067.</t>
      </text>
    </comment>
    <comment ref="I75" authorId="0" shapeId="0">
      <text>
        <t>Source: source_register.csv
Decision date: 20 August 2026
Context: Source register row SRC-067.</t>
      </text>
    </comment>
    <comment ref="C76" authorId="0" shapeId="0">
      <text>
        <t>Source: source_register.csv
Decision date: 20 August 2026
Context: Source register row SRC-068.</t>
      </text>
    </comment>
    <comment ref="D76" authorId="0" shapeId="0">
      <text>
        <t>Source: source_register.csv
Decision date: 20 August 2026
Context: Source register row SRC-068.</t>
      </text>
    </comment>
    <comment ref="E76" authorId="0" shapeId="0">
      <text>
        <t>Source: source_register.csv
Decision date: 20 August 2026
Context: Source register row SRC-068.</t>
      </text>
    </comment>
    <comment ref="F76" authorId="0" shapeId="0">
      <text>
        <t>Source: source_register.csv
Decision date: 20 August 2026
Context: Source register row SRC-068.</t>
      </text>
    </comment>
    <comment ref="G76" authorId="0" shapeId="0">
      <text>
        <t>Source: source_register.csv
Decision date: 20 August 2026
Context: Source register row SRC-068.</t>
      </text>
    </comment>
    <comment ref="H76" authorId="0" shapeId="0">
      <text>
        <t>Source: source_register.csv
Decision date: 20 August 2026
Context: Source register row SRC-068.</t>
      </text>
    </comment>
    <comment ref="I76" authorId="0" shapeId="0">
      <text>
        <t>Source: source_register.csv
Decision date: 20 August 2026
Context: Source register row SRC-068.</t>
      </text>
    </comment>
    <comment ref="C77" authorId="0" shapeId="0">
      <text>
        <t>Source: source_register.csv
Decision date: 20 August 2026
Context: Source register row SRC-069.</t>
      </text>
    </comment>
    <comment ref="D77" authorId="0" shapeId="0">
      <text>
        <t>Source: source_register.csv
Decision date: 20 August 2026
Context: Source register row SRC-069.</t>
      </text>
    </comment>
    <comment ref="E77" authorId="0" shapeId="0">
      <text>
        <t>Source: source_register.csv
Decision date: 20 August 2026
Context: Source register row SRC-069.</t>
      </text>
    </comment>
    <comment ref="F77" authorId="0" shapeId="0">
      <text>
        <t>Source: source_register.csv
Decision date: 20 August 2026
Context: Source register row SRC-069.</t>
      </text>
    </comment>
    <comment ref="G77" authorId="0" shapeId="0">
      <text>
        <t>Source: source_register.csv
Decision date: 20 August 2026
Context: Source register row SRC-069.</t>
      </text>
    </comment>
    <comment ref="H77" authorId="0" shapeId="0">
      <text>
        <t>Source: source_register.csv
Decision date: 20 August 2026
Context: Source register row SRC-069.</t>
      </text>
    </comment>
    <comment ref="I77" authorId="0" shapeId="0">
      <text>
        <t>Source: source_register.csv
Decision date: 20 August 2026
Context: Source register row SRC-069.</t>
      </text>
    </comment>
    <comment ref="C78" authorId="0" shapeId="0">
      <text>
        <t>Source: source_register.csv
Decision date: 20 August 2026
Context: Source register row SRC-070.</t>
      </text>
    </comment>
    <comment ref="D78" authorId="0" shapeId="0">
      <text>
        <t>Source: source_register.csv
Decision date: 20 August 2026
Context: Source register row SRC-070.</t>
      </text>
    </comment>
    <comment ref="E78" authorId="0" shapeId="0">
      <text>
        <t>Source: source_register.csv
Decision date: 20 August 2026
Context: Source register row SRC-070.</t>
      </text>
    </comment>
    <comment ref="F78" authorId="0" shapeId="0">
      <text>
        <t>Source: source_register.csv
Decision date: 20 August 2026
Context: Source register row SRC-070.</t>
      </text>
    </comment>
    <comment ref="G78" authorId="0" shapeId="0">
      <text>
        <t>Source: source_register.csv
Decision date: 20 August 2026
Context: Source register row SRC-070.</t>
      </text>
    </comment>
    <comment ref="H78" authorId="0" shapeId="0">
      <text>
        <t>Source: source_register.csv
Decision date: 20 August 2026
Context: Source register row SRC-070.</t>
      </text>
    </comment>
    <comment ref="I78" authorId="0" shapeId="0">
      <text>
        <t>Source: source_register.csv
Decision date: 20 August 2026
Context: Source register row SRC-070.</t>
      </text>
    </comment>
    <comment ref="C79" authorId="0" shapeId="0">
      <text>
        <t>Source: source_register.csv
Decision date: 20 August 2026
Context: Source register row SRC-071.</t>
      </text>
    </comment>
    <comment ref="D79" authorId="0" shapeId="0">
      <text>
        <t>Source: source_register.csv
Decision date: 20 August 2026
Context: Source register row SRC-071.</t>
      </text>
    </comment>
    <comment ref="E79" authorId="0" shapeId="0">
      <text>
        <t>Source: source_register.csv
Decision date: 20 August 2026
Context: Source register row SRC-071.</t>
      </text>
    </comment>
    <comment ref="F79" authorId="0" shapeId="0">
      <text>
        <t>Source: source_register.csv
Decision date: 20 August 2026
Context: Source register row SRC-071.</t>
      </text>
    </comment>
    <comment ref="G79" authorId="0" shapeId="0">
      <text>
        <t>Source: source_register.csv
Decision date: 20 August 2026
Context: Source register row SRC-071.</t>
      </text>
    </comment>
    <comment ref="H79" authorId="0" shapeId="0">
      <text>
        <t>Source: source_register.csv
Decision date: 20 August 2026
Context: Source register row SRC-071.</t>
      </text>
    </comment>
    <comment ref="I79" authorId="0" shapeId="0">
      <text>
        <t>Source: source_register.csv
Decision date: 20 August 2026
Context: Source register row SRC-071.</t>
      </text>
    </comment>
    <comment ref="C80" authorId="0" shapeId="0">
      <text>
        <t>Source: source_register.csv
Decision date: 20 August 2026
Context: Source register row SRC-072.</t>
      </text>
    </comment>
    <comment ref="D80" authorId="0" shapeId="0">
      <text>
        <t>Source: source_register.csv
Decision date: 20 August 2026
Context: Source register row SRC-072.</t>
      </text>
    </comment>
    <comment ref="E80" authorId="0" shapeId="0">
      <text>
        <t>Source: source_register.csv
Decision date: 20 August 2026
Context: Source register row SRC-072.</t>
      </text>
    </comment>
    <comment ref="F80" authorId="0" shapeId="0">
      <text>
        <t>Source: source_register.csv
Decision date: 20 August 2026
Context: Source register row SRC-072.</t>
      </text>
    </comment>
    <comment ref="G80" authorId="0" shapeId="0">
      <text>
        <t>Source: source_register.csv
Decision date: 20 August 2026
Context: Source register row SRC-072.</t>
      </text>
    </comment>
    <comment ref="H80" authorId="0" shapeId="0">
      <text>
        <t>Source: source_register.csv
Decision date: 20 August 2026
Context: Source register row SRC-072.</t>
      </text>
    </comment>
    <comment ref="I80" authorId="0" shapeId="0">
      <text>
        <t>Source: source_register.csv
Decision date: 20 August 2026
Context: Source register row SRC-072.</t>
      </text>
    </comment>
    <comment ref="C81" authorId="0" shapeId="0">
      <text>
        <t>Source: source_register.csv
Decision date: 20 August 2026
Context: Source register row SRC-073.</t>
      </text>
    </comment>
    <comment ref="D81" authorId="0" shapeId="0">
      <text>
        <t>Source: source_register.csv
Decision date: 20 August 2026
Context: Source register row SRC-073.</t>
      </text>
    </comment>
    <comment ref="E81" authorId="0" shapeId="0">
      <text>
        <t>Source: source_register.csv
Decision date: 20 August 2026
Context: Source register row SRC-073.</t>
      </text>
    </comment>
    <comment ref="F81" authorId="0" shapeId="0">
      <text>
        <t>Source: source_register.csv
Decision date: 20 August 2026
Context: Source register row SRC-073.</t>
      </text>
    </comment>
    <comment ref="G81" authorId="0" shapeId="0">
      <text>
        <t>Source: source_register.csv
Decision date: 20 August 2026
Context: Source register row SRC-073.</t>
      </text>
    </comment>
    <comment ref="H81" authorId="0" shapeId="0">
      <text>
        <t>Source: source_register.csv
Decision date: 20 August 2026
Context: Source register row SRC-073.</t>
      </text>
    </comment>
    <comment ref="I81" authorId="0" shapeId="0">
      <text>
        <t>Source: source_register.csv
Decision date: 20 August 2026
Context: Source register row SRC-073.</t>
      </text>
    </comment>
    <comment ref="C82" authorId="0" shapeId="0">
      <text>
        <t>Source: source_register.csv
Decision date: 20 August 2026
Context: Source register row SRC-074.</t>
      </text>
    </comment>
    <comment ref="D82" authorId="0" shapeId="0">
      <text>
        <t>Source: source_register.csv
Decision date: 20 August 2026
Context: Source register row SRC-074.</t>
      </text>
    </comment>
    <comment ref="E82" authorId="0" shapeId="0">
      <text>
        <t>Source: source_register.csv
Decision date: 20 August 2026
Context: Source register row SRC-074.</t>
      </text>
    </comment>
    <comment ref="F82" authorId="0" shapeId="0">
      <text>
        <t>Source: source_register.csv
Decision date: 20 August 2026
Context: Source register row SRC-074.</t>
      </text>
    </comment>
    <comment ref="G82" authorId="0" shapeId="0">
      <text>
        <t>Source: source_register.csv
Decision date: 20 August 2026
Context: Source register row SRC-074.</t>
      </text>
    </comment>
    <comment ref="H82" authorId="0" shapeId="0">
      <text>
        <t>Source: source_register.csv
Decision date: 20 August 2026
Context: Source register row SRC-074.</t>
      </text>
    </comment>
    <comment ref="I82" authorId="0" shapeId="0">
      <text>
        <t>Source: source_register.csv
Decision date: 20 August 2026
Context: Source register row SRC-074.</t>
      </text>
    </comment>
    <comment ref="C83" authorId="0" shapeId="0">
      <text>
        <t>Source: source_register.csv
Decision date: 20 August 2026
Context: Source register row SRC-075.</t>
      </text>
    </comment>
    <comment ref="D83" authorId="0" shapeId="0">
      <text>
        <t>Source: source_register.csv
Decision date: 20 August 2026
Context: Source register row SRC-075.</t>
      </text>
    </comment>
    <comment ref="E83" authorId="0" shapeId="0">
      <text>
        <t>Source: source_register.csv
Decision date: 20 August 2026
Context: Source register row SRC-075.</t>
      </text>
    </comment>
    <comment ref="F83" authorId="0" shapeId="0">
      <text>
        <t>Source: source_register.csv
Decision date: 20 August 2026
Context: Source register row SRC-075.</t>
      </text>
    </comment>
    <comment ref="G83" authorId="0" shapeId="0">
      <text>
        <t>Source: source_register.csv
Decision date: 20 August 2026
Context: Source register row SRC-075.</t>
      </text>
    </comment>
    <comment ref="H83" authorId="0" shapeId="0">
      <text>
        <t>Source: source_register.csv
Decision date: 20 August 2026
Context: Source register row SRC-075.</t>
      </text>
    </comment>
    <comment ref="I83" authorId="0" shapeId="0">
      <text>
        <t>Source: source_register.csv
Decision date: 20 August 2026
Context: Source register row SRC-075.</t>
      </text>
    </comment>
    <comment ref="C84" authorId="0" shapeId="0">
      <text>
        <t>Source: source_register.csv
Decision date: 20 August 2026
Context: Source register row SRC-076.</t>
      </text>
    </comment>
    <comment ref="D84" authorId="0" shapeId="0">
      <text>
        <t>Source: source_register.csv
Decision date: 20 August 2026
Context: Source register row SRC-076.</t>
      </text>
    </comment>
    <comment ref="E84" authorId="0" shapeId="0">
      <text>
        <t>Source: source_register.csv
Decision date: 20 August 2026
Context: Source register row SRC-076.</t>
      </text>
    </comment>
    <comment ref="F84" authorId="0" shapeId="0">
      <text>
        <t>Source: source_register.csv
Decision date: 20 August 2026
Context: Source register row SRC-076.</t>
      </text>
    </comment>
    <comment ref="G84" authorId="0" shapeId="0">
      <text>
        <t>Source: source_register.csv
Decision date: 20 August 2026
Context: Source register row SRC-076.</t>
      </text>
    </comment>
    <comment ref="H84" authorId="0" shapeId="0">
      <text>
        <t>Source: source_register.csv
Decision date: 20 August 2026
Context: Source register row SRC-076.</t>
      </text>
    </comment>
    <comment ref="I84" authorId="0" shapeId="0">
      <text>
        <t>Source: source_register.csv
Decision date: 20 August 2026
Context: Source register row SRC-076.</t>
      </text>
    </comment>
    <comment ref="C85" authorId="0" shapeId="0">
      <text>
        <t>Source: source_register.csv
Decision date: 20 August 2026
Context: Source register row SRC-077.</t>
      </text>
    </comment>
    <comment ref="D85" authorId="0" shapeId="0">
      <text>
        <t>Source: source_register.csv
Decision date: 20 August 2026
Context: Source register row SRC-077.</t>
      </text>
    </comment>
    <comment ref="E85" authorId="0" shapeId="0">
      <text>
        <t>Source: source_register.csv
Decision date: 20 August 2026
Context: Source register row SRC-077.</t>
      </text>
    </comment>
    <comment ref="F85" authorId="0" shapeId="0">
      <text>
        <t>Source: source_register.csv
Decision date: 20 August 2026
Context: Source register row SRC-077.</t>
      </text>
    </comment>
    <comment ref="G85" authorId="0" shapeId="0">
      <text>
        <t>Source: source_register.csv
Decision date: 20 August 2026
Context: Source register row SRC-077.</t>
      </text>
    </comment>
    <comment ref="H85" authorId="0" shapeId="0">
      <text>
        <t>Source: source_register.csv
Decision date: 20 August 2026
Context: Source register row SRC-077.</t>
      </text>
    </comment>
    <comment ref="I85" authorId="0" shapeId="0">
      <text>
        <t>Source: source_register.csv
Decision date: 20 August 2026
Context: Source register row SRC-077.</t>
      </text>
    </comment>
    <comment ref="C86" authorId="0" shapeId="0">
      <text>
        <t>Source: source_register.csv
Decision date: 20 August 2026
Context: Source register row SRC-078.</t>
      </text>
    </comment>
    <comment ref="D86" authorId="0" shapeId="0">
      <text>
        <t>Source: source_register.csv
Decision date: 20 August 2026
Context: Source register row SRC-078.</t>
      </text>
    </comment>
    <comment ref="E86" authorId="0" shapeId="0">
      <text>
        <t>Source: source_register.csv
Decision date: 20 August 2026
Context: Source register row SRC-078.</t>
      </text>
    </comment>
    <comment ref="F86" authorId="0" shapeId="0">
      <text>
        <t>Source: source_register.csv
Decision date: 20 August 2026
Context: Source register row SRC-078.</t>
      </text>
    </comment>
    <comment ref="G86" authorId="0" shapeId="0">
      <text>
        <t>Source: source_register.csv
Decision date: 20 August 2026
Context: Source register row SRC-078.</t>
      </text>
    </comment>
    <comment ref="H86" authorId="0" shapeId="0">
      <text>
        <t>Source: source_register.csv
Decision date: 20 August 2026
Context: Source register row SRC-078.</t>
      </text>
    </comment>
    <comment ref="I86" authorId="0" shapeId="0">
      <text>
        <t>Source: source_register.csv
Decision date: 20 August 2026
Context: Source register row SRC-078.</t>
      </text>
    </comment>
    <comment ref="C87" authorId="0" shapeId="0">
      <text>
        <t>Source: source_register.csv
Decision date: 20 August 2026
Context: Source register row SRC-079.</t>
      </text>
    </comment>
    <comment ref="D87" authorId="0" shapeId="0">
      <text>
        <t>Source: source_register.csv
Decision date: 20 August 2026
Context: Source register row SRC-079.</t>
      </text>
    </comment>
    <comment ref="E87" authorId="0" shapeId="0">
      <text>
        <t>Source: source_register.csv
Decision date: 20 August 2026
Context: Source register row SRC-079.</t>
      </text>
    </comment>
    <comment ref="F87" authorId="0" shapeId="0">
      <text>
        <t>Source: source_register.csv
Decision date: 20 August 2026
Context: Source register row SRC-079.</t>
      </text>
    </comment>
    <comment ref="G87" authorId="0" shapeId="0">
      <text>
        <t>Source: source_register.csv
Decision date: 20 August 2026
Context: Source register row SRC-079.</t>
      </text>
    </comment>
    <comment ref="H87" authorId="0" shapeId="0">
      <text>
        <t>Source: source_register.csv
Decision date: 20 August 2026
Context: Source register row SRC-079.</t>
      </text>
    </comment>
    <comment ref="I87" authorId="0" shapeId="0">
      <text>
        <t>Source: source_register.csv
Decision date: 20 August 2026
Context: Source register row SRC-079.</t>
      </text>
    </comment>
    <comment ref="C88" authorId="0" shapeId="0">
      <text>
        <t>Source: source_register.csv
Decision date: 20 August 2026
Context: Source register row SRC-080.</t>
      </text>
    </comment>
    <comment ref="D88" authorId="0" shapeId="0">
      <text>
        <t>Source: source_register.csv
Decision date: 20 August 2026
Context: Source register row SRC-080.</t>
      </text>
    </comment>
    <comment ref="E88" authorId="0" shapeId="0">
      <text>
        <t>Source: source_register.csv
Decision date: 20 August 2026
Context: Source register row SRC-080.</t>
      </text>
    </comment>
    <comment ref="F88" authorId="0" shapeId="0">
      <text>
        <t>Source: source_register.csv
Decision date: 20 August 2026
Context: Source register row SRC-080.</t>
      </text>
    </comment>
    <comment ref="G88" authorId="0" shapeId="0">
      <text>
        <t>Source: source_register.csv
Decision date: 20 August 2026
Context: Source register row SRC-080.</t>
      </text>
    </comment>
    <comment ref="H88" authorId="0" shapeId="0">
      <text>
        <t>Source: source_register.csv
Decision date: 20 August 2026
Context: Source register row SRC-080.</t>
      </text>
    </comment>
    <comment ref="I88" authorId="0" shapeId="0">
      <text>
        <t>Source: source_register.csv
Decision date: 20 August 2026
Context: Source register row SRC-080.</t>
      </text>
    </comment>
    <comment ref="C89" authorId="0" shapeId="0">
      <text>
        <t>Source: source_register.csv
Decision date: 20 August 2026
Context: Source register row SRC-081.</t>
      </text>
    </comment>
    <comment ref="D89" authorId="0" shapeId="0">
      <text>
        <t>Source: source_register.csv
Decision date: 20 August 2026
Context: Source register row SRC-081.</t>
      </text>
    </comment>
    <comment ref="E89" authorId="0" shapeId="0">
      <text>
        <t>Source: source_register.csv
Decision date: 20 August 2026
Context: Source register row SRC-081.</t>
      </text>
    </comment>
    <comment ref="F89" authorId="0" shapeId="0">
      <text>
        <t>Source: source_register.csv
Decision date: 20 August 2026
Context: Source register row SRC-081.</t>
      </text>
    </comment>
    <comment ref="G89" authorId="0" shapeId="0">
      <text>
        <t>Source: source_register.csv
Decision date: 20 August 2026
Context: Source register row SRC-081.</t>
      </text>
    </comment>
    <comment ref="H89" authorId="0" shapeId="0">
      <text>
        <t>Source: source_register.csv
Decision date: 20 August 2026
Context: Source register row SRC-081.</t>
      </text>
    </comment>
    <comment ref="I89" authorId="0" shapeId="0">
      <text>
        <t>Source: source_register.csv
Decision date: 20 August 2026
Context: Source register row SRC-081.</t>
      </text>
    </comment>
    <comment ref="C90" authorId="0" shapeId="0">
      <text>
        <t>Source: source_register.csv
Decision date: 20 August 2026
Context: Source register row SRC-082.</t>
      </text>
    </comment>
    <comment ref="D90" authorId="0" shapeId="0">
      <text>
        <t>Source: source_register.csv
Decision date: 20 August 2026
Context: Source register row SRC-082.</t>
      </text>
    </comment>
    <comment ref="E90" authorId="0" shapeId="0">
      <text>
        <t>Source: source_register.csv
Decision date: 20 August 2026
Context: Source register row SRC-082.</t>
      </text>
    </comment>
    <comment ref="F90" authorId="0" shapeId="0">
      <text>
        <t>Source: source_register.csv
Decision date: 20 August 2026
Context: Source register row SRC-082.</t>
      </text>
    </comment>
    <comment ref="G90" authorId="0" shapeId="0">
      <text>
        <t>Source: source_register.csv
Decision date: 20 August 2026
Context: Source register row SRC-082.</t>
      </text>
    </comment>
    <comment ref="H90" authorId="0" shapeId="0">
      <text>
        <t>Source: source_register.csv
Decision date: 20 August 2026
Context: Source register row SRC-082.</t>
      </text>
    </comment>
    <comment ref="I90" authorId="0" shapeId="0">
      <text>
        <t>Source: source_register.csv
Decision date: 20 August 2026
Context: Source register row SRC-082.</t>
      </text>
    </comment>
    <comment ref="C91" authorId="0" shapeId="0">
      <text>
        <t>Source: source_register.csv
Decision date: 20 August 2026
Context: Source register row SRC-083.</t>
      </text>
    </comment>
    <comment ref="D91" authorId="0" shapeId="0">
      <text>
        <t>Source: source_register.csv
Decision date: 20 August 2026
Context: Source register row SRC-083.</t>
      </text>
    </comment>
    <comment ref="E91" authorId="0" shapeId="0">
      <text>
        <t>Source: source_register.csv
Decision date: 20 August 2026
Context: Source register row SRC-083.</t>
      </text>
    </comment>
    <comment ref="F91" authorId="0" shapeId="0">
      <text>
        <t>Source: source_register.csv
Decision date: 20 August 2026
Context: Source register row SRC-083.</t>
      </text>
    </comment>
    <comment ref="G91" authorId="0" shapeId="0">
      <text>
        <t>Source: source_register.csv
Decision date: 20 August 2026
Context: Source register row SRC-083.</t>
      </text>
    </comment>
    <comment ref="H91" authorId="0" shapeId="0">
      <text>
        <t>Source: source_register.csv
Decision date: 20 August 2026
Context: Source register row SRC-083.</t>
      </text>
    </comment>
    <comment ref="I91" authorId="0" shapeId="0">
      <text>
        <t>Source: source_register.csv
Decision date: 20 August 2026
Context: Source register row SRC-083.</t>
      </text>
    </comment>
    <comment ref="C92" authorId="0" shapeId="0">
      <text>
        <t>Source: source_register.csv
Decision date: 20 August 2026
Context: Source register row SRC-084.</t>
      </text>
    </comment>
    <comment ref="D92" authorId="0" shapeId="0">
      <text>
        <t>Source: source_register.csv
Decision date: 20 August 2026
Context: Source register row SRC-084.</t>
      </text>
    </comment>
    <comment ref="E92" authorId="0" shapeId="0">
      <text>
        <t>Source: source_register.csv
Decision date: 20 August 2026
Context: Source register row SRC-084.</t>
      </text>
    </comment>
    <comment ref="F92" authorId="0" shapeId="0">
      <text>
        <t>Source: source_register.csv
Decision date: 20 August 2026
Context: Source register row SRC-084.</t>
      </text>
    </comment>
    <comment ref="G92" authorId="0" shapeId="0">
      <text>
        <t>Source: source_register.csv
Decision date: 20 August 2026
Context: Source register row SRC-084.</t>
      </text>
    </comment>
    <comment ref="H92" authorId="0" shapeId="0">
      <text>
        <t>Source: source_register.csv
Decision date: 20 August 2026
Context: Source register row SRC-084.</t>
      </text>
    </comment>
    <comment ref="I92" authorId="0" shapeId="0">
      <text>
        <t>Source: source_register.csv
Decision date: 20 August 2026
Context: Source register row SRC-084.</t>
      </text>
    </comment>
    <comment ref="C93" authorId="0" shapeId="0">
      <text>
        <t>Source: source_register.csv
Decision date: 20 August 2026
Context: Source register row SRC-085.</t>
      </text>
    </comment>
    <comment ref="D93" authorId="0" shapeId="0">
      <text>
        <t>Source: source_register.csv
Decision date: 20 August 2026
Context: Source register row SRC-085.</t>
      </text>
    </comment>
    <comment ref="E93" authorId="0" shapeId="0">
      <text>
        <t>Source: source_register.csv
Decision date: 20 August 2026
Context: Source register row SRC-085.</t>
      </text>
    </comment>
    <comment ref="F93" authorId="0" shapeId="0">
      <text>
        <t>Source: source_register.csv
Decision date: 20 August 2026
Context: Source register row SRC-085.</t>
      </text>
    </comment>
    <comment ref="G93" authorId="0" shapeId="0">
      <text>
        <t>Source: source_register.csv
Decision date: 20 August 2026
Context: Source register row SRC-085.</t>
      </text>
    </comment>
    <comment ref="H93" authorId="0" shapeId="0">
      <text>
        <t>Source: source_register.csv
Decision date: 20 August 2026
Context: Source register row SRC-085.</t>
      </text>
    </comment>
    <comment ref="I93" authorId="0" shapeId="0">
      <text>
        <t>Source: source_register.csv
Decision date: 20 August 2026
Context: Source register row SRC-085.</t>
      </text>
    </comment>
    <comment ref="C94" authorId="0" shapeId="0">
      <text>
        <t>Source: source_register.csv
Decision date: 20 August 2026
Context: Source register row SRC-086.</t>
      </text>
    </comment>
    <comment ref="D94" authorId="0" shapeId="0">
      <text>
        <t>Source: source_register.csv
Decision date: 20 August 2026
Context: Source register row SRC-086.</t>
      </text>
    </comment>
    <comment ref="E94" authorId="0" shapeId="0">
      <text>
        <t>Source: source_register.csv
Decision date: 20 August 2026
Context: Source register row SRC-086.</t>
      </text>
    </comment>
    <comment ref="F94" authorId="0" shapeId="0">
      <text>
        <t>Source: source_register.csv
Decision date: 20 August 2026
Context: Source register row SRC-086.</t>
      </text>
    </comment>
    <comment ref="G94" authorId="0" shapeId="0">
      <text>
        <t>Source: source_register.csv
Decision date: 20 August 2026
Context: Source register row SRC-086.</t>
      </text>
    </comment>
    <comment ref="H94" authorId="0" shapeId="0">
      <text>
        <t>Source: source_register.csv
Decision date: 20 August 2026
Context: Source register row SRC-086.</t>
      </text>
    </comment>
    <comment ref="I94" authorId="0" shapeId="0">
      <text>
        <t>Source: source_register.csv
Decision date: 20 August 2026
Context: Source register row SRC-086.</t>
      </text>
    </comment>
    <comment ref="C95" authorId="0" shapeId="0">
      <text>
        <t>Source: source_register.csv
Decision date: 20 August 2026
Context: Source register row SRC-087.</t>
      </text>
    </comment>
    <comment ref="D95" authorId="0" shapeId="0">
      <text>
        <t>Source: source_register.csv
Decision date: 20 August 2026
Context: Source register row SRC-087.</t>
      </text>
    </comment>
    <comment ref="E95" authorId="0" shapeId="0">
      <text>
        <t>Source: source_register.csv
Decision date: 20 August 2026
Context: Source register row SRC-087.</t>
      </text>
    </comment>
    <comment ref="F95" authorId="0" shapeId="0">
      <text>
        <t>Source: source_register.csv
Decision date: 20 August 2026
Context: Source register row SRC-087.</t>
      </text>
    </comment>
    <comment ref="G95" authorId="0" shapeId="0">
      <text>
        <t>Source: source_register.csv
Decision date: 20 August 2026
Context: Source register row SRC-087.</t>
      </text>
    </comment>
    <comment ref="H95" authorId="0" shapeId="0">
      <text>
        <t>Source: source_register.csv
Decision date: 20 August 2026
Context: Source register row SRC-087.</t>
      </text>
    </comment>
    <comment ref="I95" authorId="0" shapeId="0">
      <text>
        <t>Source: source_register.csv
Decision date: 20 August 2026
Context: Source register row SRC-087.</t>
      </text>
    </comment>
    <comment ref="C96" authorId="0" shapeId="0">
      <text>
        <t>Source: source_register.csv
Decision date: 20 August 2026
Context: Source register row SRC-088.</t>
      </text>
    </comment>
    <comment ref="D96" authorId="0" shapeId="0">
      <text>
        <t>Source: source_register.csv
Decision date: 20 August 2026
Context: Source register row SRC-088.</t>
      </text>
    </comment>
    <comment ref="E96" authorId="0" shapeId="0">
      <text>
        <t>Source: source_register.csv
Decision date: 20 August 2026
Context: Source register row SRC-088.</t>
      </text>
    </comment>
    <comment ref="F96" authorId="0" shapeId="0">
      <text>
        <t>Source: source_register.csv
Decision date: 20 August 2026
Context: Source register row SRC-088.</t>
      </text>
    </comment>
    <comment ref="G96" authorId="0" shapeId="0">
      <text>
        <t>Source: source_register.csv
Decision date: 20 August 2026
Context: Source register row SRC-088.</t>
      </text>
    </comment>
    <comment ref="H96" authorId="0" shapeId="0">
      <text>
        <t>Source: source_register.csv
Decision date: 20 August 2026
Context: Source register row SRC-088.</t>
      </text>
    </comment>
    <comment ref="I96" authorId="0" shapeId="0">
      <text>
        <t>Source: source_register.csv
Decision date: 20 August 2026
Context: Source register row SRC-088.</t>
      </text>
    </comment>
    <comment ref="C97" authorId="0" shapeId="0">
      <text>
        <t>Source: source_register.csv
Decision date: 20 August 2026
Context: Source register row SRC-089.</t>
      </text>
    </comment>
    <comment ref="D97" authorId="0" shapeId="0">
      <text>
        <t>Source: source_register.csv
Decision date: 20 August 2026
Context: Source register row SRC-089.</t>
      </text>
    </comment>
    <comment ref="E97" authorId="0" shapeId="0">
      <text>
        <t>Source: source_register.csv
Decision date: 20 August 2026
Context: Source register row SRC-089.</t>
      </text>
    </comment>
    <comment ref="F97" authorId="0" shapeId="0">
      <text>
        <t>Source: source_register.csv
Decision date: 20 August 2026
Context: Source register row SRC-089.</t>
      </text>
    </comment>
    <comment ref="G97" authorId="0" shapeId="0">
      <text>
        <t>Source: source_register.csv
Decision date: 20 August 2026
Context: Source register row SRC-089.</t>
      </text>
    </comment>
    <comment ref="H97" authorId="0" shapeId="0">
      <text>
        <t>Source: source_register.csv
Decision date: 20 August 2026
Context: Source register row SRC-089.</t>
      </text>
    </comment>
    <comment ref="I97" authorId="0" shapeId="0">
      <text>
        <t>Source: source_register.csv
Decision date: 20 August 2026
Context: Source register row SRC-089.</t>
      </text>
    </comment>
    <comment ref="C98" authorId="0" shapeId="0">
      <text>
        <t>Source: source_register.csv
Decision date: 20 August 2026
Context: Source register row SRC-090.</t>
      </text>
    </comment>
    <comment ref="D98" authorId="0" shapeId="0">
      <text>
        <t>Source: source_register.csv
Decision date: 20 August 2026
Context: Source register row SRC-090.</t>
      </text>
    </comment>
    <comment ref="E98" authorId="0" shapeId="0">
      <text>
        <t>Source: source_register.csv
Decision date: 20 August 2026
Context: Source register row SRC-090.</t>
      </text>
    </comment>
    <comment ref="F98" authorId="0" shapeId="0">
      <text>
        <t>Source: source_register.csv
Decision date: 20 August 2026
Context: Source register row SRC-090.</t>
      </text>
    </comment>
    <comment ref="G98" authorId="0" shapeId="0">
      <text>
        <t>Source: source_register.csv
Decision date: 20 August 2026
Context: Source register row SRC-090.</t>
      </text>
    </comment>
    <comment ref="H98" authorId="0" shapeId="0">
      <text>
        <t>Source: source_register.csv
Decision date: 20 August 2026
Context: Source register row SRC-090.</t>
      </text>
    </comment>
    <comment ref="I98" authorId="0" shapeId="0">
      <text>
        <t>Source: source_register.csv
Decision date: 20 August 2026
Context: Source register row SRC-090.</t>
      </text>
    </comment>
    <comment ref="C99" authorId="0" shapeId="0">
      <text>
        <t>Source: source_register.csv
Decision date: 20 August 2026
Context: Source register row SRC-091.</t>
      </text>
    </comment>
    <comment ref="D99" authorId="0" shapeId="0">
      <text>
        <t>Source: source_register.csv
Decision date: 20 August 2026
Context: Source register row SRC-091.</t>
      </text>
    </comment>
    <comment ref="E99" authorId="0" shapeId="0">
      <text>
        <t>Source: source_register.csv
Decision date: 20 August 2026
Context: Source register row SRC-091.</t>
      </text>
    </comment>
    <comment ref="F99" authorId="0" shapeId="0">
      <text>
        <t>Source: source_register.csv
Decision date: 20 August 2026
Context: Source register row SRC-091.</t>
      </text>
    </comment>
    <comment ref="G99" authorId="0" shapeId="0">
      <text>
        <t>Source: source_register.csv
Decision date: 20 August 2026
Context: Source register row SRC-091.</t>
      </text>
    </comment>
    <comment ref="H99" authorId="0" shapeId="0">
      <text>
        <t>Source: source_register.csv
Decision date: 20 August 2026
Context: Source register row SRC-091.</t>
      </text>
    </comment>
    <comment ref="I99" authorId="0" shapeId="0">
      <text>
        <t>Source: source_register.csv
Decision date: 20 August 2026
Context: Source register row SRC-091.</t>
      </text>
    </comment>
    <comment ref="C100" authorId="0" shapeId="0">
      <text>
        <t>Source: source_register.csv
Decision date: 20 August 2026
Context: Source register row SRC-092.</t>
      </text>
    </comment>
    <comment ref="D100" authorId="0" shapeId="0">
      <text>
        <t>Source: source_register.csv
Decision date: 20 August 2026
Context: Source register row SRC-092.</t>
      </text>
    </comment>
    <comment ref="E100" authorId="0" shapeId="0">
      <text>
        <t>Source: source_register.csv
Decision date: 20 August 2026
Context: Source register row SRC-092.</t>
      </text>
    </comment>
    <comment ref="F100" authorId="0" shapeId="0">
      <text>
        <t>Source: source_register.csv
Decision date: 20 August 2026
Context: Source register row SRC-092.</t>
      </text>
    </comment>
    <comment ref="G100" authorId="0" shapeId="0">
      <text>
        <t>Source: source_register.csv
Decision date: 20 August 2026
Context: Source register row SRC-092.</t>
      </text>
    </comment>
    <comment ref="H100" authorId="0" shapeId="0">
      <text>
        <t>Source: source_register.csv
Decision date: 20 August 2026
Context: Source register row SRC-092.</t>
      </text>
    </comment>
    <comment ref="I100" authorId="0" shapeId="0">
      <text>
        <t>Source: source_register.csv
Decision date: 20 August 2026
Context: Source register row SRC-092.</t>
      </text>
    </comment>
    <comment ref="C101" authorId="0" shapeId="0">
      <text>
        <t>Source: source_register.csv
Decision date: 20 August 2026
Context: Source register row SRC-093.</t>
      </text>
    </comment>
    <comment ref="D101" authorId="0" shapeId="0">
      <text>
        <t>Source: source_register.csv
Decision date: 20 August 2026
Context: Source register row SRC-093.</t>
      </text>
    </comment>
    <comment ref="E101" authorId="0" shapeId="0">
      <text>
        <t>Source: source_register.csv
Decision date: 20 August 2026
Context: Source register row SRC-093.</t>
      </text>
    </comment>
    <comment ref="F101" authorId="0" shapeId="0">
      <text>
        <t>Source: source_register.csv
Decision date: 20 August 2026
Context: Source register row SRC-093.</t>
      </text>
    </comment>
    <comment ref="G101" authorId="0" shapeId="0">
      <text>
        <t>Source: source_register.csv
Decision date: 20 August 2026
Context: Source register row SRC-093.</t>
      </text>
    </comment>
    <comment ref="H101" authorId="0" shapeId="0">
      <text>
        <t>Source: source_register.csv
Decision date: 20 August 2026
Context: Source register row SRC-093.</t>
      </text>
    </comment>
    <comment ref="I101" authorId="0" shapeId="0">
      <text>
        <t>Source: source_register.csv
Decision date: 20 August 2026
Context: Source register row SRC-093.</t>
      </text>
    </comment>
    <comment ref="C102" authorId="0" shapeId="0">
      <text>
        <t>Source: source_register.csv
Decision date: 20 August 2026
Context: Source register row SRC-094.</t>
      </text>
    </comment>
    <comment ref="D102" authorId="0" shapeId="0">
      <text>
        <t>Source: source_register.csv
Decision date: 20 August 2026
Context: Source register row SRC-094.</t>
      </text>
    </comment>
    <comment ref="E102" authorId="0" shapeId="0">
      <text>
        <t>Source: source_register.csv
Decision date: 20 August 2026
Context: Source register row SRC-094.</t>
      </text>
    </comment>
    <comment ref="F102" authorId="0" shapeId="0">
      <text>
        <t>Source: source_register.csv
Decision date: 20 August 2026
Context: Source register row SRC-094.</t>
      </text>
    </comment>
    <comment ref="G102" authorId="0" shapeId="0">
      <text>
        <t>Source: source_register.csv
Decision date: 20 August 2026
Context: Source register row SRC-094.</t>
      </text>
    </comment>
    <comment ref="H102" authorId="0" shapeId="0">
      <text>
        <t>Source: source_register.csv
Decision date: 20 August 2026
Context: Source register row SRC-094.</t>
      </text>
    </comment>
    <comment ref="I102" authorId="0" shapeId="0">
      <text>
        <t>Source: source_register.csv
Decision date: 20 August 2026
Context: Source register row SRC-094.</t>
      </text>
    </comment>
    <comment ref="C103" authorId="0" shapeId="0">
      <text>
        <t>Source: source_register.csv
Decision date: 20 August 2026
Context: Source register row SRC-095.</t>
      </text>
    </comment>
    <comment ref="D103" authorId="0" shapeId="0">
      <text>
        <t>Source: source_register.csv
Decision date: 20 August 2026
Context: Source register row SRC-095.</t>
      </text>
    </comment>
    <comment ref="E103" authorId="0" shapeId="0">
      <text>
        <t>Source: source_register.csv
Decision date: 20 August 2026
Context: Source register row SRC-095.</t>
      </text>
    </comment>
    <comment ref="F103" authorId="0" shapeId="0">
      <text>
        <t>Source: source_register.csv
Decision date: 20 August 2026
Context: Source register row SRC-095.</t>
      </text>
    </comment>
    <comment ref="G103" authorId="0" shapeId="0">
      <text>
        <t>Source: source_register.csv
Decision date: 20 August 2026
Context: Source register row SRC-095.</t>
      </text>
    </comment>
    <comment ref="H103" authorId="0" shapeId="0">
      <text>
        <t>Source: source_register.csv
Decision date: 20 August 2026
Context: Source register row SRC-095.</t>
      </text>
    </comment>
    <comment ref="I103" authorId="0" shapeId="0">
      <text>
        <t>Source: source_register.csv
Decision date: 20 August 2026
Context: Source register row SRC-095.</t>
      </text>
    </comment>
    <comment ref="C104" authorId="0" shapeId="0">
      <text>
        <t>Source: source_register.csv
Decision date: 20 August 2026
Context: Source register row SRC-096.</t>
      </text>
    </comment>
    <comment ref="D104" authorId="0" shapeId="0">
      <text>
        <t>Source: source_register.csv
Decision date: 20 August 2026
Context: Source register row SRC-096.</t>
      </text>
    </comment>
    <comment ref="E104" authorId="0" shapeId="0">
      <text>
        <t>Source: source_register.csv
Decision date: 20 August 2026
Context: Source register row SRC-096.</t>
      </text>
    </comment>
    <comment ref="F104" authorId="0" shapeId="0">
      <text>
        <t>Source: source_register.csv
Decision date: 20 August 2026
Context: Source register row SRC-096.</t>
      </text>
    </comment>
    <comment ref="G104" authorId="0" shapeId="0">
      <text>
        <t>Source: source_register.csv
Decision date: 20 August 2026
Context: Source register row SRC-096.</t>
      </text>
    </comment>
    <comment ref="H104" authorId="0" shapeId="0">
      <text>
        <t>Source: source_register.csv
Decision date: 20 August 2026
Context: Source register row SRC-096.</t>
      </text>
    </comment>
    <comment ref="I104" authorId="0" shapeId="0">
      <text>
        <t>Source: source_register.csv
Decision date: 20 August 2026
Context: Source register row SRC-096.</t>
      </text>
    </comment>
    <comment ref="C105" authorId="0" shapeId="0">
      <text>
        <t>Source: source_register.csv
Decision date: 20 August 2026
Context: Source register row SRC-097.</t>
      </text>
    </comment>
    <comment ref="D105" authorId="0" shapeId="0">
      <text>
        <t>Source: source_register.csv
Decision date: 20 August 2026
Context: Source register row SRC-097.</t>
      </text>
    </comment>
    <comment ref="E105" authorId="0" shapeId="0">
      <text>
        <t>Source: source_register.csv
Decision date: 20 August 2026
Context: Source register row SRC-097.</t>
      </text>
    </comment>
    <comment ref="F105" authorId="0" shapeId="0">
      <text>
        <t>Source: source_register.csv
Decision date: 20 August 2026
Context: Source register row SRC-097.</t>
      </text>
    </comment>
    <comment ref="G105" authorId="0" shapeId="0">
      <text>
        <t>Source: source_register.csv
Decision date: 20 August 2026
Context: Source register row SRC-097.</t>
      </text>
    </comment>
    <comment ref="H105" authorId="0" shapeId="0">
      <text>
        <t>Source: source_register.csv
Decision date: 20 August 2026
Context: Source register row SRC-097.</t>
      </text>
    </comment>
    <comment ref="I105" authorId="0" shapeId="0">
      <text>
        <t>Source: source_register.csv
Decision date: 20 August 2026
Context: Source register row SRC-097.</t>
      </text>
    </comment>
    <comment ref="C106" authorId="0" shapeId="0">
      <text>
        <t>Source: source_register.csv
Decision date: 20 August 2026
Context: Source register row SRC-098.</t>
      </text>
    </comment>
    <comment ref="D106" authorId="0" shapeId="0">
      <text>
        <t>Source: source_register.csv
Decision date: 20 August 2026
Context: Source register row SRC-098.</t>
      </text>
    </comment>
    <comment ref="E106" authorId="0" shapeId="0">
      <text>
        <t>Source: source_register.csv
Decision date: 20 August 2026
Context: Source register row SRC-098.</t>
      </text>
    </comment>
    <comment ref="F106" authorId="0" shapeId="0">
      <text>
        <t>Source: source_register.csv
Decision date: 20 August 2026
Context: Source register row SRC-098.</t>
      </text>
    </comment>
    <comment ref="G106" authorId="0" shapeId="0">
      <text>
        <t>Source: source_register.csv
Decision date: 20 August 2026
Context: Source register row SRC-098.</t>
      </text>
    </comment>
    <comment ref="H106" authorId="0" shapeId="0">
      <text>
        <t>Source: source_register.csv
Decision date: 20 August 2026
Context: Source register row SRC-098.</t>
      </text>
    </comment>
    <comment ref="I106" authorId="0" shapeId="0">
      <text>
        <t>Source: source_register.csv
Decision date: 20 August 2026
Context: Source register row SRC-098.</t>
      </text>
    </comment>
    <comment ref="C107" authorId="0" shapeId="0">
      <text>
        <t>Source: source_register.csv
Decision date: 20 August 2026
Context: Source register row SRC-099.</t>
      </text>
    </comment>
    <comment ref="D107" authorId="0" shapeId="0">
      <text>
        <t>Source: source_register.csv
Decision date: 20 August 2026
Context: Source register row SRC-099.</t>
      </text>
    </comment>
    <comment ref="E107" authorId="0" shapeId="0">
      <text>
        <t>Source: source_register.csv
Decision date: 20 August 2026
Context: Source register row SRC-099.</t>
      </text>
    </comment>
    <comment ref="F107" authorId="0" shapeId="0">
      <text>
        <t>Source: source_register.csv
Decision date: 20 August 2026
Context: Source register row SRC-099.</t>
      </text>
    </comment>
    <comment ref="G107" authorId="0" shapeId="0">
      <text>
        <t>Source: source_register.csv
Decision date: 20 August 2026
Context: Source register row SRC-099.</t>
      </text>
    </comment>
    <comment ref="H107" authorId="0" shapeId="0">
      <text>
        <t>Source: source_register.csv
Decision date: 20 August 2026
Context: Source register row SRC-099.</t>
      </text>
    </comment>
    <comment ref="I107" authorId="0" shapeId="0">
      <text>
        <t>Source: source_register.csv
Decision date: 20 August 2026
Context: Source register row SRC-099.</t>
      </text>
    </comment>
    <comment ref="C108" authorId="0" shapeId="0">
      <text>
        <t>Source: source_register.csv
Decision date: 20 August 2026
Context: Source register row SRC-100.</t>
      </text>
    </comment>
    <comment ref="D108" authorId="0" shapeId="0">
      <text>
        <t>Source: source_register.csv
Decision date: 20 August 2026
Context: Source register row SRC-100.</t>
      </text>
    </comment>
    <comment ref="E108" authorId="0" shapeId="0">
      <text>
        <t>Source: source_register.csv
Decision date: 20 August 2026
Context: Source register row SRC-100.</t>
      </text>
    </comment>
    <comment ref="F108" authorId="0" shapeId="0">
      <text>
        <t>Source: source_register.csv
Decision date: 20 August 2026
Context: Source register row SRC-100.</t>
      </text>
    </comment>
    <comment ref="G108" authorId="0" shapeId="0">
      <text>
        <t>Source: source_register.csv
Decision date: 20 August 2026
Context: Source register row SRC-100.</t>
      </text>
    </comment>
    <comment ref="H108" authorId="0" shapeId="0">
      <text>
        <t>Source: source_register.csv
Decision date: 20 August 2026
Context: Source register row SRC-100.</t>
      </text>
    </comment>
    <comment ref="I108" authorId="0" shapeId="0">
      <text>
        <t>Source: source_register.csv
Decision date: 20 August 2026
Context: Source register row SRC-100.</t>
      </text>
    </comment>
    <comment ref="C109" authorId="0" shapeId="0">
      <text>
        <t>Source: source_register.csv
Decision date: 20 August 2026
Context: Source register row SRC-101.</t>
      </text>
    </comment>
    <comment ref="D109" authorId="0" shapeId="0">
      <text>
        <t>Source: source_register.csv
Decision date: 20 August 2026
Context: Source register row SRC-101.</t>
      </text>
    </comment>
    <comment ref="E109" authorId="0" shapeId="0">
      <text>
        <t>Source: source_register.csv
Decision date: 20 August 2026
Context: Source register row SRC-101.</t>
      </text>
    </comment>
    <comment ref="F109" authorId="0" shapeId="0">
      <text>
        <t>Source: source_register.csv
Decision date: 20 August 2026
Context: Source register row SRC-101.</t>
      </text>
    </comment>
    <comment ref="G109" authorId="0" shapeId="0">
      <text>
        <t>Source: source_register.csv
Decision date: 20 August 2026
Context: Source register row SRC-101.</t>
      </text>
    </comment>
    <comment ref="H109" authorId="0" shapeId="0">
      <text>
        <t>Source: source_register.csv
Decision date: 20 August 2026
Context: Source register row SRC-101.</t>
      </text>
    </comment>
    <comment ref="I109" authorId="0" shapeId="0">
      <text>
        <t>Source: source_register.csv
Decision date: 20 August 2026
Context: Source register row SRC-101.</t>
      </text>
    </comment>
    <comment ref="C110" authorId="0" shapeId="0">
      <text>
        <t>Source: source_register.csv
Decision date: 20 August 2026
Context: Source register row SRC-102.</t>
      </text>
    </comment>
    <comment ref="D110" authorId="0" shapeId="0">
      <text>
        <t>Source: source_register.csv
Decision date: 20 August 2026
Context: Source register row SRC-102.</t>
      </text>
    </comment>
    <comment ref="E110" authorId="0" shapeId="0">
      <text>
        <t>Source: source_register.csv
Decision date: 20 August 2026
Context: Source register row SRC-102.</t>
      </text>
    </comment>
    <comment ref="F110" authorId="0" shapeId="0">
      <text>
        <t>Source: source_register.csv
Decision date: 20 August 2026
Context: Source register row SRC-102.</t>
      </text>
    </comment>
    <comment ref="G110" authorId="0" shapeId="0">
      <text>
        <t>Source: source_register.csv
Decision date: 20 August 2026
Context: Source register row SRC-102.</t>
      </text>
    </comment>
    <comment ref="H110" authorId="0" shapeId="0">
      <text>
        <t>Source: source_register.csv
Decision date: 20 August 2026
Context: Source register row SRC-102.</t>
      </text>
    </comment>
    <comment ref="I110" authorId="0" shapeId="0">
      <text>
        <t>Source: source_register.csv
Decision date: 20 August 2026
Context: Source register row SRC-102.</t>
      </text>
    </comment>
    <comment ref="C111" authorId="0" shapeId="0">
      <text>
        <t>Source: source_register.csv
Decision date: 20 August 2026
Context: Source register row SRC-103.</t>
      </text>
    </comment>
    <comment ref="D111" authorId="0" shapeId="0">
      <text>
        <t>Source: source_register.csv
Decision date: 20 August 2026
Context: Source register row SRC-103.</t>
      </text>
    </comment>
    <comment ref="E111" authorId="0" shapeId="0">
      <text>
        <t>Source: source_register.csv
Decision date: 20 August 2026
Context: Source register row SRC-103.</t>
      </text>
    </comment>
    <comment ref="F111" authorId="0" shapeId="0">
      <text>
        <t>Source: source_register.csv
Decision date: 20 August 2026
Context: Source register row SRC-103.</t>
      </text>
    </comment>
    <comment ref="G111" authorId="0" shapeId="0">
      <text>
        <t>Source: source_register.csv
Decision date: 20 August 2026
Context: Source register row SRC-103.</t>
      </text>
    </comment>
    <comment ref="H111" authorId="0" shapeId="0">
      <text>
        <t>Source: source_register.csv
Decision date: 20 August 2026
Context: Source register row SRC-103.</t>
      </text>
    </comment>
    <comment ref="I111" authorId="0" shapeId="0">
      <text>
        <t>Source: source_register.csv
Decision date: 20 August 2026
Context: Source register row SRC-103.</t>
      </text>
    </comment>
    <comment ref="C112" authorId="0" shapeId="0">
      <text>
        <t>Source: source_register.csv
Decision date: 20 August 2026
Context: Source register row SRC-104.</t>
      </text>
    </comment>
    <comment ref="D112" authorId="0" shapeId="0">
      <text>
        <t>Source: source_register.csv
Decision date: 20 August 2026
Context: Source register row SRC-104.</t>
      </text>
    </comment>
    <comment ref="E112" authorId="0" shapeId="0">
      <text>
        <t>Source: source_register.csv
Decision date: 20 August 2026
Context: Source register row SRC-104.</t>
      </text>
    </comment>
    <comment ref="F112" authorId="0" shapeId="0">
      <text>
        <t>Source: source_register.csv
Decision date: 20 August 2026
Context: Source register row SRC-104.</t>
      </text>
    </comment>
    <comment ref="G112" authorId="0" shapeId="0">
      <text>
        <t>Source: source_register.csv
Decision date: 20 August 2026
Context: Source register row SRC-104.</t>
      </text>
    </comment>
    <comment ref="H112" authorId="0" shapeId="0">
      <text>
        <t>Source: source_register.csv
Decision date: 20 August 2026
Context: Source register row SRC-104.</t>
      </text>
    </comment>
    <comment ref="I112" authorId="0" shapeId="0">
      <text>
        <t>Source: source_register.csv
Decision date: 20 August 2026
Context: Source register row SRC-104.</t>
      </text>
    </comment>
    <comment ref="C113" authorId="0" shapeId="0">
      <text>
        <t>Source: source_register.csv
Decision date: 20 August 2026
Context: Source register row SRC-105.</t>
      </text>
    </comment>
    <comment ref="D113" authorId="0" shapeId="0">
      <text>
        <t>Source: source_register.csv
Decision date: 20 August 2026
Context: Source register row SRC-105.</t>
      </text>
    </comment>
    <comment ref="E113" authorId="0" shapeId="0">
      <text>
        <t>Source: source_register.csv
Decision date: 20 August 2026
Context: Source register row SRC-105.</t>
      </text>
    </comment>
    <comment ref="F113" authorId="0" shapeId="0">
      <text>
        <t>Source: source_register.csv
Decision date: 20 August 2026
Context: Source register row SRC-105.</t>
      </text>
    </comment>
    <comment ref="G113" authorId="0" shapeId="0">
      <text>
        <t>Source: source_register.csv
Decision date: 20 August 2026
Context: Source register row SRC-105.</t>
      </text>
    </comment>
    <comment ref="H113" authorId="0" shapeId="0">
      <text>
        <t>Source: source_register.csv
Decision date: 20 August 2026
Context: Source register row SRC-105.</t>
      </text>
    </comment>
    <comment ref="I113" authorId="0" shapeId="0">
      <text>
        <t>Source: source_register.csv
Decision date: 20 August 2026
Context: Source register row SRC-105.</t>
      </text>
    </comment>
    <comment ref="C114" authorId="0" shapeId="0">
      <text>
        <t>Source: source_register.csv
Decision date: 20 August 2026
Context: Source register row SRC-106.</t>
      </text>
    </comment>
    <comment ref="D114" authorId="0" shapeId="0">
      <text>
        <t>Source: source_register.csv
Decision date: 20 August 2026
Context: Source register row SRC-106.</t>
      </text>
    </comment>
    <comment ref="E114" authorId="0" shapeId="0">
      <text>
        <t>Source: source_register.csv
Decision date: 20 August 2026
Context: Source register row SRC-106.</t>
      </text>
    </comment>
    <comment ref="F114" authorId="0" shapeId="0">
      <text>
        <t>Source: source_register.csv
Decision date: 20 August 2026
Context: Source register row SRC-106.</t>
      </text>
    </comment>
    <comment ref="G114" authorId="0" shapeId="0">
      <text>
        <t>Source: source_register.csv
Decision date: 20 August 2026
Context: Source register row SRC-106.</t>
      </text>
    </comment>
    <comment ref="H114" authorId="0" shapeId="0">
      <text>
        <t>Source: source_register.csv
Decision date: 20 August 2026
Context: Source register row SRC-106.</t>
      </text>
    </comment>
    <comment ref="I114" authorId="0" shapeId="0">
      <text>
        <t>Source: source_register.csv
Decision date: 20 August 2026
Context: Source register row SRC-106.</t>
      </text>
    </comment>
    <comment ref="C115" authorId="0" shapeId="0">
      <text>
        <t>Source: source_register.csv
Decision date: 20 August 2026
Context: Source register row SRC-107.</t>
      </text>
    </comment>
    <comment ref="D115" authorId="0" shapeId="0">
      <text>
        <t>Source: source_register.csv
Decision date: 20 August 2026
Context: Source register row SRC-107.</t>
      </text>
    </comment>
    <comment ref="E115" authorId="0" shapeId="0">
      <text>
        <t>Source: source_register.csv
Decision date: 20 August 2026
Context: Source register row SRC-107.</t>
      </text>
    </comment>
    <comment ref="F115" authorId="0" shapeId="0">
      <text>
        <t>Source: source_register.csv
Decision date: 20 August 2026
Context: Source register row SRC-107.</t>
      </text>
    </comment>
    <comment ref="G115" authorId="0" shapeId="0">
      <text>
        <t>Source: source_register.csv
Decision date: 20 August 2026
Context: Source register row SRC-107.</t>
      </text>
    </comment>
    <comment ref="H115" authorId="0" shapeId="0">
      <text>
        <t>Source: source_register.csv
Decision date: 20 August 2026
Context: Source register row SRC-107.</t>
      </text>
    </comment>
    <comment ref="I115" authorId="0" shapeId="0">
      <text>
        <t>Source: source_register.csv
Decision date: 20 August 2026
Context: Source register row SRC-107.</t>
      </text>
    </comment>
    <comment ref="C116" authorId="0" shapeId="0">
      <text>
        <t>Source: source_register.csv
Decision date: 20 August 2026
Context: Source register row SRC-108.</t>
      </text>
    </comment>
    <comment ref="D116" authorId="0" shapeId="0">
      <text>
        <t>Source: source_register.csv
Decision date: 20 August 2026
Context: Source register row SRC-108.</t>
      </text>
    </comment>
    <comment ref="E116" authorId="0" shapeId="0">
      <text>
        <t>Source: source_register.csv
Decision date: 20 August 2026
Context: Source register row SRC-108.</t>
      </text>
    </comment>
    <comment ref="F116" authorId="0" shapeId="0">
      <text>
        <t>Source: source_register.csv
Decision date: 20 August 2026
Context: Source register row SRC-108.</t>
      </text>
    </comment>
    <comment ref="G116" authorId="0" shapeId="0">
      <text>
        <t>Source: source_register.csv
Decision date: 20 August 2026
Context: Source register row SRC-108.</t>
      </text>
    </comment>
    <comment ref="H116" authorId="0" shapeId="0">
      <text>
        <t>Source: source_register.csv
Decision date: 20 August 2026
Context: Source register row SRC-108.</t>
      </text>
    </comment>
    <comment ref="I116" authorId="0" shapeId="0">
      <text>
        <t>Source: source_register.csv
Decision date: 20 August 2026
Context: Source register row SRC-108.</t>
      </text>
    </comment>
    <comment ref="C117" authorId="0" shapeId="0">
      <text>
        <t>Source: source_register.csv
Decision date: 20 August 2026
Context: Source register row SRC-109.</t>
      </text>
    </comment>
    <comment ref="D117" authorId="0" shapeId="0">
      <text>
        <t>Source: source_register.csv
Decision date: 20 August 2026
Context: Source register row SRC-109.</t>
      </text>
    </comment>
    <comment ref="E117" authorId="0" shapeId="0">
      <text>
        <t>Source: source_register.csv
Decision date: 20 August 2026
Context: Source register row SRC-109.</t>
      </text>
    </comment>
    <comment ref="F117" authorId="0" shapeId="0">
      <text>
        <t>Source: source_register.csv
Decision date: 20 August 2026
Context: Source register row SRC-109.</t>
      </text>
    </comment>
    <comment ref="G117" authorId="0" shapeId="0">
      <text>
        <t>Source: source_register.csv
Decision date: 20 August 2026
Context: Source register row SRC-109.</t>
      </text>
    </comment>
    <comment ref="H117" authorId="0" shapeId="0">
      <text>
        <t>Source: source_register.csv
Decision date: 20 August 2026
Context: Source register row SRC-109.</t>
      </text>
    </comment>
    <comment ref="I117" authorId="0" shapeId="0">
      <text>
        <t>Source: source_register.csv
Decision date: 20 August 2026
Context: Source register row SRC-109.</t>
      </text>
    </comment>
    <comment ref="C118" authorId="0" shapeId="0">
      <text>
        <t>Source: source_register.csv
Decision date: 20 August 2026
Context: Source register row SRC-110.</t>
      </text>
    </comment>
    <comment ref="D118" authorId="0" shapeId="0">
      <text>
        <t>Source: source_register.csv
Decision date: 20 August 2026
Context: Source register row SRC-110.</t>
      </text>
    </comment>
    <comment ref="E118" authorId="0" shapeId="0">
      <text>
        <t>Source: source_register.csv
Decision date: 20 August 2026
Context: Source register row SRC-110.</t>
      </text>
    </comment>
    <comment ref="F118" authorId="0" shapeId="0">
      <text>
        <t>Source: source_register.csv
Decision date: 20 August 2026
Context: Source register row SRC-110.</t>
      </text>
    </comment>
    <comment ref="G118" authorId="0" shapeId="0">
      <text>
        <t>Source: source_register.csv
Decision date: 20 August 2026
Context: Source register row SRC-110.</t>
      </text>
    </comment>
    <comment ref="H118" authorId="0" shapeId="0">
      <text>
        <t>Source: source_register.csv
Decision date: 20 August 2026
Context: Source register row SRC-110.</t>
      </text>
    </comment>
    <comment ref="I118" authorId="0" shapeId="0">
      <text>
        <t>Source: source_register.csv
Decision date: 20 August 2026
Context: Source register row SRC-110.</t>
      </text>
    </comment>
    <comment ref="C119" authorId="0" shapeId="0">
      <text>
        <t>Source: source_register.csv
Decision date: 20 August 2026
Context: Source register row SRC-111.</t>
      </text>
    </comment>
    <comment ref="D119" authorId="0" shapeId="0">
      <text>
        <t>Source: source_register.csv
Decision date: 20 August 2026
Context: Source register row SRC-111.</t>
      </text>
    </comment>
    <comment ref="E119" authorId="0" shapeId="0">
      <text>
        <t>Source: source_register.csv
Decision date: 20 August 2026
Context: Source register row SRC-111.</t>
      </text>
    </comment>
    <comment ref="F119" authorId="0" shapeId="0">
      <text>
        <t>Source: source_register.csv
Decision date: 20 August 2026
Context: Source register row SRC-111.</t>
      </text>
    </comment>
    <comment ref="G119" authorId="0" shapeId="0">
      <text>
        <t>Source: source_register.csv
Decision date: 20 August 2026
Context: Source register row SRC-111.</t>
      </text>
    </comment>
    <comment ref="H119" authorId="0" shapeId="0">
      <text>
        <t>Source: source_register.csv
Decision date: 20 August 2026
Context: Source register row SRC-111.</t>
      </text>
    </comment>
    <comment ref="I119" authorId="0" shapeId="0">
      <text>
        <t>Source: source_register.csv
Decision date: 20 August 2026
Context: Source register row SRC-111.</t>
      </text>
    </comment>
    <comment ref="C120" authorId="0" shapeId="0">
      <text>
        <t>Source: source_register.csv
Decision date: 20 August 2026
Context: Source register row SRC-112.</t>
      </text>
    </comment>
    <comment ref="D120" authorId="0" shapeId="0">
      <text>
        <t>Source: source_register.csv
Decision date: 20 August 2026
Context: Source register row SRC-112.</t>
      </text>
    </comment>
    <comment ref="E120" authorId="0" shapeId="0">
      <text>
        <t>Source: source_register.csv
Decision date: 20 August 2026
Context: Source register row SRC-112.</t>
      </text>
    </comment>
    <comment ref="F120" authorId="0" shapeId="0">
      <text>
        <t>Source: source_register.csv
Decision date: 20 August 2026
Context: Source register row SRC-112.</t>
      </text>
    </comment>
    <comment ref="G120" authorId="0" shapeId="0">
      <text>
        <t>Source: source_register.csv
Decision date: 20 August 2026
Context: Source register row SRC-112.</t>
      </text>
    </comment>
    <comment ref="H120" authorId="0" shapeId="0">
      <text>
        <t>Source: source_register.csv
Decision date: 20 August 2026
Context: Source register row SRC-112.</t>
      </text>
    </comment>
    <comment ref="I120" authorId="0" shapeId="0">
      <text>
        <t>Source: source_register.csv
Decision date: 20 August 2026
Context: Source register row SRC-112.</t>
      </text>
    </comment>
    <comment ref="C121" authorId="0" shapeId="0">
      <text>
        <t>Source: source_register.csv
Decision date: 20 August 2026
Context: Source register row SRC-113.</t>
      </text>
    </comment>
    <comment ref="D121" authorId="0" shapeId="0">
      <text>
        <t>Source: source_register.csv
Decision date: 20 August 2026
Context: Source register row SRC-113.</t>
      </text>
    </comment>
    <comment ref="E121" authorId="0" shapeId="0">
      <text>
        <t>Source: source_register.csv
Decision date: 20 August 2026
Context: Source register row SRC-113.</t>
      </text>
    </comment>
    <comment ref="F121" authorId="0" shapeId="0">
      <text>
        <t>Source: source_register.csv
Decision date: 20 August 2026
Context: Source register row SRC-113.</t>
      </text>
    </comment>
    <comment ref="G121" authorId="0" shapeId="0">
      <text>
        <t>Source: source_register.csv
Decision date: 20 August 2026
Context: Source register row SRC-113.</t>
      </text>
    </comment>
    <comment ref="H121" authorId="0" shapeId="0">
      <text>
        <t>Source: source_register.csv
Decision date: 20 August 2026
Context: Source register row SRC-113.</t>
      </text>
    </comment>
    <comment ref="I121" authorId="0" shapeId="0">
      <text>
        <t>Source: source_register.csv
Decision date: 20 August 2026
Context: Source register row SRC-113.</t>
      </text>
    </comment>
    <comment ref="C122" authorId="0" shapeId="0">
      <text>
        <t>Source: source_register.csv
Decision date: 20 August 2026
Context: Source register row SRC-114.</t>
      </text>
    </comment>
    <comment ref="D122" authorId="0" shapeId="0">
      <text>
        <t>Source: source_register.csv
Decision date: 20 August 2026
Context: Source register row SRC-114.</t>
      </text>
    </comment>
    <comment ref="E122" authorId="0" shapeId="0">
      <text>
        <t>Source: source_register.csv
Decision date: 20 August 2026
Context: Source register row SRC-114.</t>
      </text>
    </comment>
    <comment ref="F122" authorId="0" shapeId="0">
      <text>
        <t>Source: source_register.csv
Decision date: 20 August 2026
Context: Source register row SRC-114.</t>
      </text>
    </comment>
    <comment ref="G122" authorId="0" shapeId="0">
      <text>
        <t>Source: source_register.csv
Decision date: 20 August 2026
Context: Source register row SRC-114.</t>
      </text>
    </comment>
    <comment ref="H122" authorId="0" shapeId="0">
      <text>
        <t>Source: source_register.csv
Decision date: 20 August 2026
Context: Source register row SRC-114.</t>
      </text>
    </comment>
    <comment ref="I122" authorId="0" shapeId="0">
      <text>
        <t>Source: source_register.csv
Decision date: 20 August 2026
Context: Source register row SRC-114.</t>
      </text>
    </comment>
    <comment ref="C123" authorId="0" shapeId="0">
      <text>
        <t>Source: source_register.csv
Decision date: 20 August 2026
Context: Source register row SRC-115.</t>
      </text>
    </comment>
    <comment ref="D123" authorId="0" shapeId="0">
      <text>
        <t>Source: source_register.csv
Decision date: 20 August 2026
Context: Source register row SRC-115.</t>
      </text>
    </comment>
    <comment ref="E123" authorId="0" shapeId="0">
      <text>
        <t>Source: source_register.csv
Decision date: 20 August 2026
Context: Source register row SRC-115.</t>
      </text>
    </comment>
    <comment ref="F123" authorId="0" shapeId="0">
      <text>
        <t>Source: source_register.csv
Decision date: 20 August 2026
Context: Source register row SRC-115.</t>
      </text>
    </comment>
    <comment ref="G123" authorId="0" shapeId="0">
      <text>
        <t>Source: source_register.csv
Decision date: 20 August 2026
Context: Source register row SRC-115.</t>
      </text>
    </comment>
    <comment ref="H123" authorId="0" shapeId="0">
      <text>
        <t>Source: source_register.csv
Decision date: 20 August 2026
Context: Source register row SRC-115.</t>
      </text>
    </comment>
    <comment ref="I123" authorId="0" shapeId="0">
      <text>
        <t>Source: source_register.csv
Decision date: 20 August 2026
Context: Source register row SRC-115.</t>
      </text>
    </comment>
    <comment ref="C124" authorId="0" shapeId="0">
      <text>
        <t>Source: source_register.csv
Decision date: 20 August 2026
Context: Source register row SRC-116.</t>
      </text>
    </comment>
    <comment ref="D124" authorId="0" shapeId="0">
      <text>
        <t>Source: source_register.csv
Decision date: 20 August 2026
Context: Source register row SRC-116.</t>
      </text>
    </comment>
    <comment ref="E124" authorId="0" shapeId="0">
      <text>
        <t>Source: source_register.csv
Decision date: 20 August 2026
Context: Source register row SRC-116.</t>
      </text>
    </comment>
    <comment ref="F124" authorId="0" shapeId="0">
      <text>
        <t>Source: source_register.csv
Decision date: 20 August 2026
Context: Source register row SRC-116.</t>
      </text>
    </comment>
    <comment ref="G124" authorId="0" shapeId="0">
      <text>
        <t>Source: source_register.csv
Decision date: 20 August 2026
Context: Source register row SRC-116.</t>
      </text>
    </comment>
    <comment ref="H124" authorId="0" shapeId="0">
      <text>
        <t>Source: source_register.csv
Decision date: 20 August 2026
Context: Source register row SRC-116.</t>
      </text>
    </comment>
    <comment ref="I124" authorId="0" shapeId="0">
      <text>
        <t>Source: source_register.csv
Decision date: 20 August 2026
Context: Source register row SRC-116.</t>
      </text>
    </comment>
    <comment ref="C125" authorId="0" shapeId="0">
      <text>
        <t>Source: source_register.csv
Decision date: 20 August 2026
Context: Source register row SRC-117.</t>
      </text>
    </comment>
    <comment ref="D125" authorId="0" shapeId="0">
      <text>
        <t>Source: source_register.csv
Decision date: 20 August 2026
Context: Source register row SRC-117.</t>
      </text>
    </comment>
    <comment ref="E125" authorId="0" shapeId="0">
      <text>
        <t>Source: source_register.csv
Decision date: 20 August 2026
Context: Source register row SRC-117.</t>
      </text>
    </comment>
    <comment ref="F125" authorId="0" shapeId="0">
      <text>
        <t>Source: source_register.csv
Decision date: 20 August 2026
Context: Source register row SRC-117.</t>
      </text>
    </comment>
    <comment ref="G125" authorId="0" shapeId="0">
      <text>
        <t>Source: source_register.csv
Decision date: 20 August 2026
Context: Source register row SRC-117.</t>
      </text>
    </comment>
    <comment ref="H125" authorId="0" shapeId="0">
      <text>
        <t>Source: source_register.csv
Decision date: 20 August 2026
Context: Source register row SRC-117.</t>
      </text>
    </comment>
    <comment ref="I125" authorId="0" shapeId="0">
      <text>
        <t>Source: source_register.csv
Decision date: 20 August 2026
Context: Source register row SRC-117.</t>
      </text>
    </comment>
    <comment ref="C126" authorId="0" shapeId="0">
      <text>
        <t>Source: source_register.csv
Decision date: 20 August 2026
Context: Source register row SRC-118.</t>
      </text>
    </comment>
    <comment ref="D126" authorId="0" shapeId="0">
      <text>
        <t>Source: source_register.csv
Decision date: 20 August 2026
Context: Source register row SRC-118.</t>
      </text>
    </comment>
    <comment ref="E126" authorId="0" shapeId="0">
      <text>
        <t>Source: source_register.csv
Decision date: 20 August 2026
Context: Source register row SRC-118.</t>
      </text>
    </comment>
    <comment ref="F126" authorId="0" shapeId="0">
      <text>
        <t>Source: source_register.csv
Decision date: 20 August 2026
Context: Source register row SRC-118.</t>
      </text>
    </comment>
    <comment ref="G126" authorId="0" shapeId="0">
      <text>
        <t>Source: source_register.csv
Decision date: 20 August 2026
Context: Source register row SRC-118.</t>
      </text>
    </comment>
    <comment ref="H126" authorId="0" shapeId="0">
      <text>
        <t>Source: source_register.csv
Decision date: 20 August 2026
Context: Source register row SRC-118.</t>
      </text>
    </comment>
    <comment ref="I126" authorId="0" shapeId="0">
      <text>
        <t>Source: source_register.csv
Decision date: 20 August 2026
Context: Source register row SRC-118.</t>
      </text>
    </comment>
    <comment ref="C127" authorId="0" shapeId="0">
      <text>
        <t>Source: source_register.csv
Decision date: 20 August 2026
Context: Source register row SRC-119.</t>
      </text>
    </comment>
    <comment ref="D127" authorId="0" shapeId="0">
      <text>
        <t>Source: source_register.csv
Decision date: 20 August 2026
Context: Source register row SRC-119.</t>
      </text>
    </comment>
    <comment ref="E127" authorId="0" shapeId="0">
      <text>
        <t>Source: source_register.csv
Decision date: 20 August 2026
Context: Source register row SRC-119.</t>
      </text>
    </comment>
    <comment ref="F127" authorId="0" shapeId="0">
      <text>
        <t>Source: source_register.csv
Decision date: 20 August 2026
Context: Source register row SRC-119.</t>
      </text>
    </comment>
    <comment ref="G127" authorId="0" shapeId="0">
      <text>
        <t>Source: source_register.csv
Decision date: 20 August 2026
Context: Source register row SRC-119.</t>
      </text>
    </comment>
    <comment ref="H127" authorId="0" shapeId="0">
      <text>
        <t>Source: source_register.csv
Decision date: 20 August 2026
Context: Source register row SRC-119.</t>
      </text>
    </comment>
    <comment ref="I127" authorId="0" shapeId="0">
      <text>
        <t>Source: source_register.csv
Decision date: 20 August 2026
Context: Source register row SRC-119.</t>
      </text>
    </comment>
    <comment ref="C128" authorId="0" shapeId="0">
      <text>
        <t>Source: source_register.csv
Decision date: 20 August 2026
Context: Source register row SRC-120.</t>
      </text>
    </comment>
    <comment ref="D128" authorId="0" shapeId="0">
      <text>
        <t>Source: source_register.csv
Decision date: 20 August 2026
Context: Source register row SRC-120.</t>
      </text>
    </comment>
    <comment ref="E128" authorId="0" shapeId="0">
      <text>
        <t>Source: source_register.csv
Decision date: 20 August 2026
Context: Source register row SRC-120.</t>
      </text>
    </comment>
    <comment ref="F128" authorId="0" shapeId="0">
      <text>
        <t>Source: source_register.csv
Decision date: 20 August 2026
Context: Source register row SRC-120.</t>
      </text>
    </comment>
    <comment ref="G128" authorId="0" shapeId="0">
      <text>
        <t>Source: source_register.csv
Decision date: 20 August 2026
Context: Source register row SRC-120.</t>
      </text>
    </comment>
    <comment ref="H128" authorId="0" shapeId="0">
      <text>
        <t>Source: source_register.csv
Decision date: 20 August 2026
Context: Source register row SRC-120.</t>
      </text>
    </comment>
    <comment ref="I128" authorId="0" shapeId="0">
      <text>
        <t>Source: source_register.csv
Decision date: 20 August 2026
Context: Source register row SRC-120.</t>
      </text>
    </comment>
    <comment ref="C129" authorId="0" shapeId="0">
      <text>
        <t>Source: source_register.csv
Decision date: 20 August 2026
Context: Source register row SRC-121.</t>
      </text>
    </comment>
    <comment ref="D129" authorId="0" shapeId="0">
      <text>
        <t>Source: source_register.csv
Decision date: 20 August 2026
Context: Source register row SRC-121.</t>
      </text>
    </comment>
    <comment ref="E129" authorId="0" shapeId="0">
      <text>
        <t>Source: source_register.csv
Decision date: 20 August 2026
Context: Source register row SRC-121.</t>
      </text>
    </comment>
    <comment ref="F129" authorId="0" shapeId="0">
      <text>
        <t>Source: source_register.csv
Decision date: 20 August 2026
Context: Source register row SRC-121.</t>
      </text>
    </comment>
    <comment ref="G129" authorId="0" shapeId="0">
      <text>
        <t>Source: source_register.csv
Decision date: 20 August 2026
Context: Source register row SRC-121.</t>
      </text>
    </comment>
    <comment ref="H129" authorId="0" shapeId="0">
      <text>
        <t>Source: source_register.csv
Decision date: 20 August 2026
Context: Source register row SRC-121.</t>
      </text>
    </comment>
    <comment ref="I129" authorId="0" shapeId="0">
      <text>
        <t>Source: source_register.csv
Decision date: 20 August 2026
Context: Source register row SRC-121.</t>
      </text>
    </comment>
    <comment ref="C130" authorId="0" shapeId="0">
      <text>
        <t>Source: source_register.csv
Decision date: 20 August 2026
Context: Source register row SRC-122.</t>
      </text>
    </comment>
    <comment ref="D130" authorId="0" shapeId="0">
      <text>
        <t>Source: source_register.csv
Decision date: 20 August 2026
Context: Source register row SRC-122.</t>
      </text>
    </comment>
    <comment ref="E130" authorId="0" shapeId="0">
      <text>
        <t>Source: source_register.csv
Decision date: 20 August 2026
Context: Source register row SRC-122.</t>
      </text>
    </comment>
    <comment ref="F130" authorId="0" shapeId="0">
      <text>
        <t>Source: source_register.csv
Decision date: 20 August 2026
Context: Source register row SRC-122.</t>
      </text>
    </comment>
    <comment ref="G130" authorId="0" shapeId="0">
      <text>
        <t>Source: source_register.csv
Decision date: 20 August 2026
Context: Source register row SRC-122.</t>
      </text>
    </comment>
    <comment ref="H130" authorId="0" shapeId="0">
      <text>
        <t>Source: source_register.csv
Decision date: 20 August 2026
Context: Source register row SRC-122.</t>
      </text>
    </comment>
    <comment ref="I130" authorId="0" shapeId="0">
      <text>
        <t>Source: source_register.csv
Decision date: 20 August 2026
Context: Source register row SRC-122.</t>
      </text>
    </comment>
    <comment ref="C131" authorId="0" shapeId="0">
      <text>
        <t>Source: source_register.csv
Decision date: 20 August 2026
Context: Source register row SRC-123.</t>
      </text>
    </comment>
    <comment ref="D131" authorId="0" shapeId="0">
      <text>
        <t>Source: source_register.csv
Decision date: 20 August 2026
Context: Source register row SRC-123.</t>
      </text>
    </comment>
    <comment ref="E131" authorId="0" shapeId="0">
      <text>
        <t>Source: source_register.csv
Decision date: 20 August 2026
Context: Source register row SRC-123.</t>
      </text>
    </comment>
    <comment ref="F131" authorId="0" shapeId="0">
      <text>
        <t>Source: source_register.csv
Decision date: 20 August 2026
Context: Source register row SRC-123.</t>
      </text>
    </comment>
    <comment ref="G131" authorId="0" shapeId="0">
      <text>
        <t>Source: source_register.csv
Decision date: 20 August 2026
Context: Source register row SRC-123.</t>
      </text>
    </comment>
    <comment ref="H131" authorId="0" shapeId="0">
      <text>
        <t>Source: source_register.csv
Decision date: 20 August 2026
Context: Source register row SRC-123.</t>
      </text>
    </comment>
    <comment ref="I131" authorId="0" shapeId="0">
      <text>
        <t>Source: source_register.csv
Decision date: 20 August 2026
Context: Source register row SRC-123.</t>
      </text>
    </comment>
    <comment ref="C132" authorId="0" shapeId="0">
      <text>
        <t>Source: source_register.csv
Decision date: 20 August 2026
Context: Source register row SRC-124.</t>
      </text>
    </comment>
    <comment ref="D132" authorId="0" shapeId="0">
      <text>
        <t>Source: source_register.csv
Decision date: 20 August 2026
Context: Source register row SRC-124.</t>
      </text>
    </comment>
    <comment ref="E132" authorId="0" shapeId="0">
      <text>
        <t>Source: source_register.csv
Decision date: 20 August 2026
Context: Source register row SRC-124.</t>
      </text>
    </comment>
    <comment ref="F132" authorId="0" shapeId="0">
      <text>
        <t>Source: source_register.csv
Decision date: 20 August 2026
Context: Source register row SRC-124.</t>
      </text>
    </comment>
    <comment ref="G132" authorId="0" shapeId="0">
      <text>
        <t>Source: source_register.csv
Decision date: 20 August 2026
Context: Source register row SRC-124.</t>
      </text>
    </comment>
    <comment ref="H132" authorId="0" shapeId="0">
      <text>
        <t>Source: source_register.csv
Decision date: 20 August 2026
Context: Source register row SRC-124.</t>
      </text>
    </comment>
    <comment ref="I132" authorId="0" shapeId="0">
      <text>
        <t>Source: source_register.csv
Decision date: 20 August 2026
Context: Source register row SRC-124.</t>
      </text>
    </comment>
    <comment ref="C133" authorId="0" shapeId="0">
      <text>
        <t>Source: source_register.csv
Decision date: 20 August 2026
Context: Source register row SRC-125.</t>
      </text>
    </comment>
    <comment ref="D133" authorId="0" shapeId="0">
      <text>
        <t>Source: source_register.csv
Decision date: 20 August 2026
Context: Source register row SRC-125.</t>
      </text>
    </comment>
    <comment ref="E133" authorId="0" shapeId="0">
      <text>
        <t>Source: source_register.csv
Decision date: 20 August 2026
Context: Source register row SRC-125.</t>
      </text>
    </comment>
    <comment ref="F133" authorId="0" shapeId="0">
      <text>
        <t>Source: source_register.csv
Decision date: 20 August 2026
Context: Source register row SRC-125.</t>
      </text>
    </comment>
    <comment ref="G133" authorId="0" shapeId="0">
      <text>
        <t>Source: source_register.csv
Decision date: 20 August 2026
Context: Source register row SRC-125.</t>
      </text>
    </comment>
    <comment ref="H133" authorId="0" shapeId="0">
      <text>
        <t>Source: source_register.csv
Decision date: 20 August 2026
Context: Source register row SRC-125.</t>
      </text>
    </comment>
    <comment ref="I133" authorId="0" shapeId="0">
      <text>
        <t>Source: source_register.csv
Decision date: 20 August 2026
Context: Source register row SRC-125.</t>
      </text>
    </comment>
    <comment ref="C134" authorId="0" shapeId="0">
      <text>
        <t>Source: source_register.csv
Decision date: 20 August 2026
Context: Source register row SRC-126.</t>
      </text>
    </comment>
    <comment ref="D134" authorId="0" shapeId="0">
      <text>
        <t>Source: source_register.csv
Decision date: 20 August 2026
Context: Source register row SRC-126.</t>
      </text>
    </comment>
    <comment ref="E134" authorId="0" shapeId="0">
      <text>
        <t>Source: source_register.csv
Decision date: 20 August 2026
Context: Source register row SRC-126.</t>
      </text>
    </comment>
    <comment ref="F134" authorId="0" shapeId="0">
      <text>
        <t>Source: source_register.csv
Decision date: 20 August 2026
Context: Source register row SRC-126.</t>
      </text>
    </comment>
    <comment ref="G134" authorId="0" shapeId="0">
      <text>
        <t>Source: source_register.csv
Decision date: 20 August 2026
Context: Source register row SRC-126.</t>
      </text>
    </comment>
    <comment ref="H134" authorId="0" shapeId="0">
      <text>
        <t>Source: source_register.csv
Decision date: 20 August 2026
Context: Source register row SRC-126.</t>
      </text>
    </comment>
    <comment ref="I134" authorId="0" shapeId="0">
      <text>
        <t>Source: source_register.csv
Decision date: 20 August 2026
Context: Source register row SRC-126.</t>
      </text>
    </comment>
    <comment ref="C135" authorId="0" shapeId="0">
      <text>
        <t>Source: source_register.csv
Decision date: 20 August 2026
Context: Source register row SRC-127.</t>
      </text>
    </comment>
    <comment ref="D135" authorId="0" shapeId="0">
      <text>
        <t>Source: source_register.csv
Decision date: 20 August 2026
Context: Source register row SRC-127.</t>
      </text>
    </comment>
    <comment ref="E135" authorId="0" shapeId="0">
      <text>
        <t>Source: source_register.csv
Decision date: 20 August 2026
Context: Source register row SRC-127.</t>
      </text>
    </comment>
    <comment ref="F135" authorId="0" shapeId="0">
      <text>
        <t>Source: source_register.csv
Decision date: 20 August 2026
Context: Source register row SRC-127.</t>
      </text>
    </comment>
    <comment ref="G135" authorId="0" shapeId="0">
      <text>
        <t>Source: source_register.csv
Decision date: 20 August 2026
Context: Source register row SRC-127.</t>
      </text>
    </comment>
    <comment ref="H135" authorId="0" shapeId="0">
      <text>
        <t>Source: source_register.csv
Decision date: 20 August 2026
Context: Source register row SRC-127.</t>
      </text>
    </comment>
    <comment ref="I135" authorId="0" shapeId="0">
      <text>
        <t>Source: source_register.csv
Decision date: 20 August 2026
Context: Source register row SRC-127.</t>
      </text>
    </comment>
    <comment ref="C136" authorId="0" shapeId="0">
      <text>
        <t>Source: source_register.csv
Decision date: 20 August 2026
Context: Source register row SRC-128.</t>
      </text>
    </comment>
    <comment ref="D136" authorId="0" shapeId="0">
      <text>
        <t>Source: source_register.csv
Decision date: 20 August 2026
Context: Source register row SRC-128.</t>
      </text>
    </comment>
    <comment ref="E136" authorId="0" shapeId="0">
      <text>
        <t>Source: source_register.csv
Decision date: 20 August 2026
Context: Source register row SRC-128.</t>
      </text>
    </comment>
    <comment ref="F136" authorId="0" shapeId="0">
      <text>
        <t>Source: source_register.csv
Decision date: 20 August 2026
Context: Source register row SRC-128.</t>
      </text>
    </comment>
    <comment ref="G136" authorId="0" shapeId="0">
      <text>
        <t>Source: source_register.csv
Decision date: 20 August 2026
Context: Source register row SRC-128.</t>
      </text>
    </comment>
    <comment ref="H136" authorId="0" shapeId="0">
      <text>
        <t>Source: source_register.csv
Decision date: 20 August 2026
Context: Source register row SRC-128.</t>
      </text>
    </comment>
    <comment ref="I136" authorId="0" shapeId="0">
      <text>
        <t>Source: source_register.csv
Decision date: 20 August 2026
Context: Source register row SRC-128.</t>
      </text>
    </comment>
    <comment ref="C137" authorId="0" shapeId="0">
      <text>
        <t>Source: source_register.csv
Decision date: 20 August 2026
Context: Source register row SRC-129.</t>
      </text>
    </comment>
    <comment ref="D137" authorId="0" shapeId="0">
      <text>
        <t>Source: source_register.csv
Decision date: 20 August 2026
Context: Source register row SRC-129.</t>
      </text>
    </comment>
    <comment ref="E137" authorId="0" shapeId="0">
      <text>
        <t>Source: source_register.csv
Decision date: 20 August 2026
Context: Source register row SRC-129.</t>
      </text>
    </comment>
    <comment ref="F137" authorId="0" shapeId="0">
      <text>
        <t>Source: source_register.csv
Decision date: 20 August 2026
Context: Source register row SRC-129.</t>
      </text>
    </comment>
    <comment ref="G137" authorId="0" shapeId="0">
      <text>
        <t>Source: source_register.csv
Decision date: 20 August 2026
Context: Source register row SRC-129.</t>
      </text>
    </comment>
    <comment ref="H137" authorId="0" shapeId="0">
      <text>
        <t>Source: source_register.csv
Decision date: 20 August 2026
Context: Source register row SRC-129.</t>
      </text>
    </comment>
    <comment ref="I137" authorId="0" shapeId="0">
      <text>
        <t>Source: source_register.csv
Decision date: 20 August 2026
Context: Source register row SRC-129.</t>
      </text>
    </comment>
    <comment ref="C138" authorId="0" shapeId="0">
      <text>
        <t>Source: source_register.csv
Decision date: 20 August 2026
Context: Source register row SRC-130.</t>
      </text>
    </comment>
    <comment ref="D138" authorId="0" shapeId="0">
      <text>
        <t>Source: source_register.csv
Decision date: 20 August 2026
Context: Source register row SRC-130.</t>
      </text>
    </comment>
    <comment ref="E138" authorId="0" shapeId="0">
      <text>
        <t>Source: source_register.csv
Decision date: 20 August 2026
Context: Source register row SRC-130.</t>
      </text>
    </comment>
    <comment ref="F138" authorId="0" shapeId="0">
      <text>
        <t>Source: source_register.csv
Decision date: 20 August 2026
Context: Source register row SRC-130.</t>
      </text>
    </comment>
    <comment ref="G138" authorId="0" shapeId="0">
      <text>
        <t>Source: source_register.csv
Decision date: 20 August 2026
Context: Source register row SRC-130.</t>
      </text>
    </comment>
    <comment ref="H138" authorId="0" shapeId="0">
      <text>
        <t>Source: source_register.csv
Decision date: 20 August 2026
Context: Source register row SRC-130.</t>
      </text>
    </comment>
    <comment ref="I138" authorId="0" shapeId="0">
      <text>
        <t>Source: source_register.csv
Decision date: 20 August 2026
Context: Source register row SRC-130.</t>
      </text>
    </comment>
    <comment ref="C139" authorId="0" shapeId="0">
      <text>
        <t>Source: source_register.csv
Decision date: 20 August 2026
Context: Source register row SRC-131.</t>
      </text>
    </comment>
    <comment ref="D139" authorId="0" shapeId="0">
      <text>
        <t>Source: source_register.csv
Decision date: 20 August 2026
Context: Source register row SRC-131.</t>
      </text>
    </comment>
    <comment ref="E139" authorId="0" shapeId="0">
      <text>
        <t>Source: source_register.csv
Decision date: 20 August 2026
Context: Source register row SRC-131.</t>
      </text>
    </comment>
    <comment ref="F139" authorId="0" shapeId="0">
      <text>
        <t>Source: source_register.csv
Decision date: 20 August 2026
Context: Source register row SRC-131.</t>
      </text>
    </comment>
    <comment ref="G139" authorId="0" shapeId="0">
      <text>
        <t>Source: source_register.csv
Decision date: 20 August 2026
Context: Source register row SRC-131.</t>
      </text>
    </comment>
    <comment ref="H139" authorId="0" shapeId="0">
      <text>
        <t>Source: source_register.csv
Decision date: 20 August 2026
Context: Source register row SRC-131.</t>
      </text>
    </comment>
    <comment ref="I139" authorId="0" shapeId="0">
      <text>
        <t>Source: source_register.csv
Decision date: 20 August 2026
Context: Source register row SRC-131.</t>
      </text>
    </comment>
    <comment ref="C140" authorId="0" shapeId="0">
      <text>
        <t>Source: source_register.csv
Decision date: 20 August 2026
Context: Source register row SRC-132.</t>
      </text>
    </comment>
    <comment ref="D140" authorId="0" shapeId="0">
      <text>
        <t>Source: source_register.csv
Decision date: 20 August 2026
Context: Source register row SRC-132.</t>
      </text>
    </comment>
    <comment ref="E140" authorId="0" shapeId="0">
      <text>
        <t>Source: source_register.csv
Decision date: 20 August 2026
Context: Source register row SRC-132.</t>
      </text>
    </comment>
    <comment ref="F140" authorId="0" shapeId="0">
      <text>
        <t>Source: source_register.csv
Decision date: 20 August 2026
Context: Source register row SRC-132.</t>
      </text>
    </comment>
    <comment ref="G140" authorId="0" shapeId="0">
      <text>
        <t>Source: source_register.csv
Decision date: 20 August 2026
Context: Source register row SRC-132.</t>
      </text>
    </comment>
    <comment ref="H140" authorId="0" shapeId="0">
      <text>
        <t>Source: source_register.csv
Decision date: 20 August 2026
Context: Source register row SRC-132.</t>
      </text>
    </comment>
    <comment ref="I140" authorId="0" shapeId="0">
      <text>
        <t>Source: source_register.csv
Decision date: 20 August 2026
Context: Source register row SRC-132.</t>
      </text>
    </comment>
    <comment ref="C141" authorId="0" shapeId="0">
      <text>
        <t>Source: source_register.csv
Decision date: 20 August 2026
Context: Source register row SRC-133.</t>
      </text>
    </comment>
    <comment ref="D141" authorId="0" shapeId="0">
      <text>
        <t>Source: source_register.csv
Decision date: 20 August 2026
Context: Source register row SRC-133.</t>
      </text>
    </comment>
    <comment ref="E141" authorId="0" shapeId="0">
      <text>
        <t>Source: source_register.csv
Decision date: 20 August 2026
Context: Source register row SRC-133.</t>
      </text>
    </comment>
    <comment ref="F141" authorId="0" shapeId="0">
      <text>
        <t>Source: source_register.csv
Decision date: 20 August 2026
Context: Source register row SRC-133.</t>
      </text>
    </comment>
    <comment ref="G141" authorId="0" shapeId="0">
      <text>
        <t>Source: source_register.csv
Decision date: 20 August 2026
Context: Source register row SRC-133.</t>
      </text>
    </comment>
    <comment ref="H141" authorId="0" shapeId="0">
      <text>
        <t>Source: source_register.csv
Decision date: 20 August 2026
Context: Source register row SRC-133.</t>
      </text>
    </comment>
    <comment ref="I141" authorId="0" shapeId="0">
      <text>
        <t>Source: source_register.csv
Decision date: 20 August 2026
Context: Source register row SRC-133.</t>
      </text>
    </comment>
    <comment ref="C142" authorId="0" shapeId="0">
      <text>
        <t>Source: source_register.csv
Decision date: 20 August 2026
Context: Source register row SRC-134.</t>
      </text>
    </comment>
    <comment ref="D142" authorId="0" shapeId="0">
      <text>
        <t>Source: source_register.csv
Decision date: 20 August 2026
Context: Source register row SRC-134.</t>
      </text>
    </comment>
    <comment ref="E142" authorId="0" shapeId="0">
      <text>
        <t>Source: source_register.csv
Decision date: 20 August 2026
Context: Source register row SRC-134.</t>
      </text>
    </comment>
    <comment ref="F142" authorId="0" shapeId="0">
      <text>
        <t>Source: source_register.csv
Decision date: 20 August 2026
Context: Source register row SRC-134.</t>
      </text>
    </comment>
    <comment ref="G142" authorId="0" shapeId="0">
      <text>
        <t>Source: source_register.csv
Decision date: 20 August 2026
Context: Source register row SRC-134.</t>
      </text>
    </comment>
    <comment ref="H142" authorId="0" shapeId="0">
      <text>
        <t>Source: source_register.csv
Decision date: 20 August 2026
Context: Source register row SRC-134.</t>
      </text>
    </comment>
    <comment ref="I142" authorId="0" shapeId="0">
      <text>
        <t>Source: source_register.csv
Decision date: 20 August 2026
Context: Source register row SRC-134.</t>
      </text>
    </comment>
    <comment ref="C143" authorId="0" shapeId="0">
      <text>
        <t>Source: source_register.csv
Decision date: 20 August 2026
Context: Source register row SRC-135.</t>
      </text>
    </comment>
    <comment ref="D143" authorId="0" shapeId="0">
      <text>
        <t>Source: source_register.csv
Decision date: 20 August 2026
Context: Source register row SRC-135.</t>
      </text>
    </comment>
    <comment ref="E143" authorId="0" shapeId="0">
      <text>
        <t>Source: source_register.csv
Decision date: 20 August 2026
Context: Source register row SRC-135.</t>
      </text>
    </comment>
    <comment ref="F143" authorId="0" shapeId="0">
      <text>
        <t>Source: source_register.csv
Decision date: 20 August 2026
Context: Source register row SRC-135.</t>
      </text>
    </comment>
    <comment ref="G143" authorId="0" shapeId="0">
      <text>
        <t>Source: source_register.csv
Decision date: 20 August 2026
Context: Source register row SRC-135.</t>
      </text>
    </comment>
    <comment ref="H143" authorId="0" shapeId="0">
      <text>
        <t>Source: source_register.csv
Decision date: 20 August 2026
Context: Source register row SRC-135.</t>
      </text>
    </comment>
    <comment ref="I143" authorId="0" shapeId="0">
      <text>
        <t>Source: source_register.csv
Decision date: 20 August 2026
Context: Source register row SRC-135.</t>
      </text>
    </comment>
    <comment ref="C144" authorId="0" shapeId="0">
      <text>
        <t>Source: source_register.csv
Decision date: 20 August 2026
Context: Source register row SRC-136.</t>
      </text>
    </comment>
    <comment ref="D144" authorId="0" shapeId="0">
      <text>
        <t>Source: source_register.csv
Decision date: 20 August 2026
Context: Source register row SRC-136.</t>
      </text>
    </comment>
    <comment ref="E144" authorId="0" shapeId="0">
      <text>
        <t>Source: source_register.csv
Decision date: 20 August 2026
Context: Source register row SRC-136.</t>
      </text>
    </comment>
    <comment ref="F144" authorId="0" shapeId="0">
      <text>
        <t>Source: source_register.csv
Decision date: 20 August 2026
Context: Source register row SRC-136.</t>
      </text>
    </comment>
    <comment ref="G144" authorId="0" shapeId="0">
      <text>
        <t>Source: source_register.csv
Decision date: 20 August 2026
Context: Source register row SRC-136.</t>
      </text>
    </comment>
    <comment ref="H144" authorId="0" shapeId="0">
      <text>
        <t>Source: source_register.csv
Decision date: 20 August 2026
Context: Source register row SRC-136.</t>
      </text>
    </comment>
    <comment ref="I144" authorId="0" shapeId="0">
      <text>
        <t>Source: source_register.csv
Decision date: 20 August 2026
Context: Source register row SRC-136.</t>
      </text>
    </comment>
    <comment ref="C145" authorId="0" shapeId="0">
      <text>
        <t>Source: source_register.csv
Decision date: 20 August 2026
Context: Source register row SRC-137.</t>
      </text>
    </comment>
    <comment ref="D145" authorId="0" shapeId="0">
      <text>
        <t>Source: source_register.csv
Decision date: 20 August 2026
Context: Source register row SRC-137.</t>
      </text>
    </comment>
    <comment ref="E145" authorId="0" shapeId="0">
      <text>
        <t>Source: source_register.csv
Decision date: 20 August 2026
Context: Source register row SRC-137.</t>
      </text>
    </comment>
    <comment ref="F145" authorId="0" shapeId="0">
      <text>
        <t>Source: source_register.csv
Decision date: 20 August 2026
Context: Source register row SRC-137.</t>
      </text>
    </comment>
    <comment ref="G145" authorId="0" shapeId="0">
      <text>
        <t>Source: source_register.csv
Decision date: 20 August 2026
Context: Source register row SRC-137.</t>
      </text>
    </comment>
    <comment ref="H145" authorId="0" shapeId="0">
      <text>
        <t>Source: source_register.csv
Decision date: 20 August 2026
Context: Source register row SRC-137.</t>
      </text>
    </comment>
    <comment ref="I145" authorId="0" shapeId="0">
      <text>
        <t>Source: source_register.csv
Decision date: 20 August 2026
Context: Source register row SRC-137.</t>
      </text>
    </comment>
    <comment ref="C146" authorId="0" shapeId="0">
      <text>
        <t>Source: source_register.csv
Decision date: 20 August 2026
Context: Source register row SRC-138.</t>
      </text>
    </comment>
    <comment ref="D146" authorId="0" shapeId="0">
      <text>
        <t>Source: source_register.csv
Decision date: 20 August 2026
Context: Source register row SRC-138.</t>
      </text>
    </comment>
    <comment ref="E146" authorId="0" shapeId="0">
      <text>
        <t>Source: source_register.csv
Decision date: 20 August 2026
Context: Source register row SRC-138.</t>
      </text>
    </comment>
    <comment ref="F146" authorId="0" shapeId="0">
      <text>
        <t>Source: source_register.csv
Decision date: 20 August 2026
Context: Source register row SRC-138.</t>
      </text>
    </comment>
    <comment ref="G146" authorId="0" shapeId="0">
      <text>
        <t>Source: source_register.csv
Decision date: 20 August 2026
Context: Source register row SRC-138.</t>
      </text>
    </comment>
    <comment ref="H146" authorId="0" shapeId="0">
      <text>
        <t>Source: source_register.csv
Decision date: 20 August 2026
Context: Source register row SRC-138.</t>
      </text>
    </comment>
    <comment ref="I146" authorId="0" shapeId="0">
      <text>
        <t>Source: source_register.csv
Decision date: 20 August 2026
Context: Source register row SRC-138.</t>
      </text>
    </comment>
    <comment ref="C147" authorId="0" shapeId="0">
      <text>
        <t>Source: source_register.csv
Decision date: 20 August 2026
Context: Source register row SRC-139.</t>
      </text>
    </comment>
    <comment ref="D147" authorId="0" shapeId="0">
      <text>
        <t>Source: source_register.csv
Decision date: 20 August 2026
Context: Source register row SRC-139.</t>
      </text>
    </comment>
    <comment ref="E147" authorId="0" shapeId="0">
      <text>
        <t>Source: source_register.csv
Decision date: 20 August 2026
Context: Source register row SRC-139.</t>
      </text>
    </comment>
    <comment ref="F147" authorId="0" shapeId="0">
      <text>
        <t>Source: source_register.csv
Decision date: 20 August 2026
Context: Source register row SRC-139.</t>
      </text>
    </comment>
    <comment ref="G147" authorId="0" shapeId="0">
      <text>
        <t>Source: source_register.csv
Decision date: 20 August 2026
Context: Source register row SRC-139.</t>
      </text>
    </comment>
    <comment ref="H147" authorId="0" shapeId="0">
      <text>
        <t>Source: source_register.csv
Decision date: 20 August 2026
Context: Source register row SRC-139.</t>
      </text>
    </comment>
    <comment ref="I147" authorId="0" shapeId="0">
      <text>
        <t>Source: source_register.csv
Decision date: 20 August 2026
Context: Source register row SRC-139.</t>
      </text>
    </comment>
    <comment ref="C148" authorId="0" shapeId="0">
      <text>
        <t>Source: source_register.csv
Decision date: 20 August 2026
Context: Source register row SRC-140.</t>
      </text>
    </comment>
    <comment ref="D148" authorId="0" shapeId="0">
      <text>
        <t>Source: source_register.csv
Decision date: 20 August 2026
Context: Source register row SRC-140.</t>
      </text>
    </comment>
    <comment ref="E148" authorId="0" shapeId="0">
      <text>
        <t>Source: source_register.csv
Decision date: 20 August 2026
Context: Source register row SRC-140.</t>
      </text>
    </comment>
    <comment ref="F148" authorId="0" shapeId="0">
      <text>
        <t>Source: source_register.csv
Decision date: 20 August 2026
Context: Source register row SRC-140.</t>
      </text>
    </comment>
    <comment ref="G148" authorId="0" shapeId="0">
      <text>
        <t>Source: source_register.csv
Decision date: 20 August 2026
Context: Source register row SRC-140.</t>
      </text>
    </comment>
    <comment ref="H148" authorId="0" shapeId="0">
      <text>
        <t>Source: source_register.csv
Decision date: 20 August 2026
Context: Source register row SRC-140.</t>
      </text>
    </comment>
    <comment ref="I148" authorId="0" shapeId="0">
      <text>
        <t>Source: source_register.csv
Decision date: 20 August 2026
Context: Source register row SRC-140.</t>
      </text>
    </comment>
    <comment ref="C149" authorId="0" shapeId="0">
      <text>
        <t>Source: source_register.csv
Decision date: 20 August 2026
Context: Source register row SRC-141.</t>
      </text>
    </comment>
    <comment ref="D149" authorId="0" shapeId="0">
      <text>
        <t>Source: source_register.csv
Decision date: 20 August 2026
Context: Source register row SRC-141.</t>
      </text>
    </comment>
    <comment ref="E149" authorId="0" shapeId="0">
      <text>
        <t>Source: source_register.csv
Decision date: 20 August 2026
Context: Source register row SRC-141.</t>
      </text>
    </comment>
    <comment ref="F149" authorId="0" shapeId="0">
      <text>
        <t>Source: source_register.csv
Decision date: 20 August 2026
Context: Source register row SRC-141.</t>
      </text>
    </comment>
    <comment ref="G149" authorId="0" shapeId="0">
      <text>
        <t>Source: source_register.csv
Decision date: 20 August 2026
Context: Source register row SRC-141.</t>
      </text>
    </comment>
    <comment ref="H149" authorId="0" shapeId="0">
      <text>
        <t>Source: source_register.csv
Decision date: 20 August 2026
Context: Source register row SRC-141.</t>
      </text>
    </comment>
    <comment ref="I149" authorId="0" shapeId="0">
      <text>
        <t>Source: source_register.csv
Decision date: 20 August 2026
Context: Source register row SRC-141.</t>
      </text>
    </comment>
    <comment ref="C150" authorId="0" shapeId="0">
      <text>
        <t>Source: source_register.csv
Decision date: 20 August 2026
Context: Source register row SRC-142.</t>
      </text>
    </comment>
    <comment ref="D150" authorId="0" shapeId="0">
      <text>
        <t>Source: source_register.csv
Decision date: 20 August 2026
Context: Source register row SRC-142.</t>
      </text>
    </comment>
    <comment ref="E150" authorId="0" shapeId="0">
      <text>
        <t>Source: source_register.csv
Decision date: 20 August 2026
Context: Source register row SRC-142.</t>
      </text>
    </comment>
    <comment ref="F150" authorId="0" shapeId="0">
      <text>
        <t>Source: source_register.csv
Decision date: 20 August 2026
Context: Source register row SRC-142.</t>
      </text>
    </comment>
    <comment ref="G150" authorId="0" shapeId="0">
      <text>
        <t>Source: source_register.csv
Decision date: 20 August 2026
Context: Source register row SRC-142.</t>
      </text>
    </comment>
    <comment ref="H150" authorId="0" shapeId="0">
      <text>
        <t>Source: source_register.csv
Decision date: 20 August 2026
Context: Source register row SRC-142.</t>
      </text>
    </comment>
    <comment ref="I150" authorId="0" shapeId="0">
      <text>
        <t>Source: source_register.csv
Decision date: 20 August 2026
Context: Source register row SRC-142.</t>
      </text>
    </comment>
    <comment ref="C151" authorId="0" shapeId="0">
      <text>
        <t>Source: source_register.csv
Decision date: 20 August 2026
Context: Source register row SRC-143.</t>
      </text>
    </comment>
    <comment ref="D151" authorId="0" shapeId="0">
      <text>
        <t>Source: source_register.csv
Decision date: 20 August 2026
Context: Source register row SRC-143.</t>
      </text>
    </comment>
    <comment ref="E151" authorId="0" shapeId="0">
      <text>
        <t>Source: source_register.csv
Decision date: 20 August 2026
Context: Source register row SRC-143.</t>
      </text>
    </comment>
    <comment ref="F151" authorId="0" shapeId="0">
      <text>
        <t>Source: source_register.csv
Decision date: 20 August 2026
Context: Source register row SRC-143.</t>
      </text>
    </comment>
    <comment ref="G151" authorId="0" shapeId="0">
      <text>
        <t>Source: source_register.csv
Decision date: 20 August 2026
Context: Source register row SRC-143.</t>
      </text>
    </comment>
    <comment ref="H151" authorId="0" shapeId="0">
      <text>
        <t>Source: source_register.csv
Decision date: 20 August 2026
Context: Source register row SRC-143.</t>
      </text>
    </comment>
    <comment ref="I151" authorId="0" shapeId="0">
      <text>
        <t>Source: source_register.csv
Decision date: 20 August 2026
Context: Source register row SRC-143.</t>
      </text>
    </comment>
    <comment ref="C152" authorId="0" shapeId="0">
      <text>
        <t>Source: source_register.csv
Decision date: 20 August 2026
Context: Source register row SRC-144.</t>
      </text>
    </comment>
    <comment ref="D152" authorId="0" shapeId="0">
      <text>
        <t>Source: source_register.csv
Decision date: 20 August 2026
Context: Source register row SRC-144.</t>
      </text>
    </comment>
    <comment ref="E152" authorId="0" shapeId="0">
      <text>
        <t>Source: source_register.csv
Decision date: 20 August 2026
Context: Source register row SRC-144.</t>
      </text>
    </comment>
    <comment ref="F152" authorId="0" shapeId="0">
      <text>
        <t>Source: source_register.csv
Decision date: 20 August 2026
Context: Source register row SRC-144.</t>
      </text>
    </comment>
    <comment ref="G152" authorId="0" shapeId="0">
      <text>
        <t>Source: source_register.csv
Decision date: 20 August 2026
Context: Source register row SRC-144.</t>
      </text>
    </comment>
    <comment ref="H152" authorId="0" shapeId="0">
      <text>
        <t>Source: source_register.csv
Decision date: 20 August 2026
Context: Source register row SRC-144.</t>
      </text>
    </comment>
    <comment ref="I152" authorId="0" shapeId="0">
      <text>
        <t>Source: source_register.csv
Decision date: 20 August 2026
Context: Source register row SRC-144.</t>
      </text>
    </comment>
    <comment ref="C153" authorId="0" shapeId="0">
      <text>
        <t>Source: source_register.csv
Decision date: 20 August 2026
Context: Source register row SRC-145.</t>
      </text>
    </comment>
    <comment ref="D153" authorId="0" shapeId="0">
      <text>
        <t>Source: source_register.csv
Decision date: 20 August 2026
Context: Source register row SRC-145.</t>
      </text>
    </comment>
    <comment ref="E153" authorId="0" shapeId="0">
      <text>
        <t>Source: source_register.csv
Decision date: 20 August 2026
Context: Source register row SRC-145.</t>
      </text>
    </comment>
    <comment ref="F153" authorId="0" shapeId="0">
      <text>
        <t>Source: source_register.csv
Decision date: 20 August 2026
Context: Source register row SRC-145.</t>
      </text>
    </comment>
    <comment ref="G153" authorId="0" shapeId="0">
      <text>
        <t>Source: source_register.csv
Decision date: 20 August 2026
Context: Source register row SRC-145.</t>
      </text>
    </comment>
    <comment ref="H153" authorId="0" shapeId="0">
      <text>
        <t>Source: source_register.csv
Decision date: 20 August 2026
Context: Source register row SRC-145.</t>
      </text>
    </comment>
    <comment ref="I153" authorId="0" shapeId="0">
      <text>
        <t>Source: source_register.csv
Decision date: 20 August 2026
Context: Source register row SRC-145.</t>
      </text>
    </comment>
    <comment ref="C154" authorId="0" shapeId="0">
      <text>
        <t>Source: source_register.csv
Decision date: 20 August 2026
Context: Source register row SRC-146.</t>
      </text>
    </comment>
    <comment ref="D154" authorId="0" shapeId="0">
      <text>
        <t>Source: source_register.csv
Decision date: 20 August 2026
Context: Source register row SRC-146.</t>
      </text>
    </comment>
    <comment ref="E154" authorId="0" shapeId="0">
      <text>
        <t>Source: source_register.csv
Decision date: 20 August 2026
Context: Source register row SRC-146.</t>
      </text>
    </comment>
    <comment ref="F154" authorId="0" shapeId="0">
      <text>
        <t>Source: source_register.csv
Decision date: 20 August 2026
Context: Source register row SRC-146.</t>
      </text>
    </comment>
    <comment ref="G154" authorId="0" shapeId="0">
      <text>
        <t>Source: source_register.csv
Decision date: 20 August 2026
Context: Source register row SRC-146.</t>
      </text>
    </comment>
    <comment ref="H154" authorId="0" shapeId="0">
      <text>
        <t>Source: source_register.csv
Decision date: 20 August 2026
Context: Source register row SRC-146.</t>
      </text>
    </comment>
    <comment ref="I154" authorId="0" shapeId="0">
      <text>
        <t>Source: source_register.csv
Decision date: 20 August 2026
Context: Source register row SRC-146.</t>
      </text>
    </comment>
    <comment ref="C155" authorId="0" shapeId="0">
      <text>
        <t>Source: source_register.csv
Decision date: 20 August 2026
Context: Source register row SRC-147.</t>
      </text>
    </comment>
    <comment ref="D155" authorId="0" shapeId="0">
      <text>
        <t>Source: source_register.csv
Decision date: 20 August 2026
Context: Source register row SRC-147.</t>
      </text>
    </comment>
    <comment ref="E155" authorId="0" shapeId="0">
      <text>
        <t>Source: source_register.csv
Decision date: 20 August 2026
Context: Source register row SRC-147.</t>
      </text>
    </comment>
    <comment ref="F155" authorId="0" shapeId="0">
      <text>
        <t>Source: source_register.csv
Decision date: 20 August 2026
Context: Source register row SRC-147.</t>
      </text>
    </comment>
    <comment ref="G155" authorId="0" shapeId="0">
      <text>
        <t>Source: source_register.csv
Decision date: 20 August 2026
Context: Source register row SRC-147.</t>
      </text>
    </comment>
    <comment ref="H155" authorId="0" shapeId="0">
      <text>
        <t>Source: source_register.csv
Decision date: 20 August 2026
Context: Source register row SRC-147.</t>
      </text>
    </comment>
    <comment ref="I155" authorId="0" shapeId="0">
      <text>
        <t>Source: source_register.csv
Decision date: 20 August 2026
Context: Source register row SRC-147.</t>
      </text>
    </comment>
    <comment ref="C156" authorId="0" shapeId="0">
      <text>
        <t>Source: source_register.csv
Decision date: 20 August 2026
Context: Source register row SRC-148.</t>
      </text>
    </comment>
    <comment ref="D156" authorId="0" shapeId="0">
      <text>
        <t>Source: source_register.csv
Decision date: 20 August 2026
Context: Source register row SRC-148.</t>
      </text>
    </comment>
    <comment ref="E156" authorId="0" shapeId="0">
      <text>
        <t>Source: source_register.csv
Decision date: 20 August 2026
Context: Source register row SRC-148.</t>
      </text>
    </comment>
    <comment ref="F156" authorId="0" shapeId="0">
      <text>
        <t>Source: source_register.csv
Decision date: 20 August 2026
Context: Source register row SRC-148.</t>
      </text>
    </comment>
    <comment ref="G156" authorId="0" shapeId="0">
      <text>
        <t>Source: source_register.csv
Decision date: 20 August 2026
Context: Source register row SRC-148.</t>
      </text>
    </comment>
    <comment ref="H156" authorId="0" shapeId="0">
      <text>
        <t>Source: source_register.csv
Decision date: 20 August 2026
Context: Source register row SRC-148.</t>
      </text>
    </comment>
    <comment ref="I156" authorId="0" shapeId="0">
      <text>
        <t>Source: source_register.csv
Decision date: 20 August 2026
Context: Source register row SRC-148.</t>
      </text>
    </comment>
    <comment ref="C157" authorId="0" shapeId="0">
      <text>
        <t>Source: source_register.csv
Decision date: 20 August 2026
Context: Source register row SRC-149.</t>
      </text>
    </comment>
    <comment ref="D157" authorId="0" shapeId="0">
      <text>
        <t>Source: source_register.csv
Decision date: 20 August 2026
Context: Source register row SRC-149.</t>
      </text>
    </comment>
    <comment ref="E157" authorId="0" shapeId="0">
      <text>
        <t>Source: source_register.csv
Decision date: 20 August 2026
Context: Source register row SRC-149.</t>
      </text>
    </comment>
    <comment ref="F157" authorId="0" shapeId="0">
      <text>
        <t>Source: source_register.csv
Decision date: 20 August 2026
Context: Source register row SRC-149.</t>
      </text>
    </comment>
    <comment ref="G157" authorId="0" shapeId="0">
      <text>
        <t>Source: source_register.csv
Decision date: 20 August 2026
Context: Source register row SRC-149.</t>
      </text>
    </comment>
    <comment ref="H157" authorId="0" shapeId="0">
      <text>
        <t>Source: source_register.csv
Decision date: 20 August 2026
Context: Source register row SRC-149.</t>
      </text>
    </comment>
    <comment ref="I157" authorId="0" shapeId="0">
      <text>
        <t>Source: source_register.csv
Decision date: 20 August 2026
Context: Source register row SRC-149.</t>
      </text>
    </comment>
    <comment ref="C158" authorId="0" shapeId="0">
      <text>
        <t>Source: source_register.csv
Decision date: 20 August 2026
Context: Source register row SRC-150.</t>
      </text>
    </comment>
    <comment ref="D158" authorId="0" shapeId="0">
      <text>
        <t>Source: source_register.csv
Decision date: 20 August 2026
Context: Source register row SRC-150.</t>
      </text>
    </comment>
    <comment ref="E158" authorId="0" shapeId="0">
      <text>
        <t>Source: source_register.csv
Decision date: 20 August 2026
Context: Source register row SRC-150.</t>
      </text>
    </comment>
    <comment ref="F158" authorId="0" shapeId="0">
      <text>
        <t>Source: source_register.csv
Decision date: 20 August 2026
Context: Source register row SRC-150.</t>
      </text>
    </comment>
    <comment ref="G158" authorId="0" shapeId="0">
      <text>
        <t>Source: source_register.csv
Decision date: 20 August 2026
Context: Source register row SRC-150.</t>
      </text>
    </comment>
    <comment ref="H158" authorId="0" shapeId="0">
      <text>
        <t>Source: source_register.csv
Decision date: 20 August 2026
Context: Source register row SRC-150.</t>
      </text>
    </comment>
    <comment ref="I158" authorId="0" shapeId="0">
      <text>
        <t>Source: source_register.csv
Decision date: 20 August 2026
Context: Source register row SRC-150.</t>
      </text>
    </comment>
    <comment ref="C159" authorId="0" shapeId="0">
      <text>
        <t>Source: source_register.csv
Decision date: 20 August 2026
Context: Source register row SRC-151.</t>
      </text>
    </comment>
    <comment ref="D159" authorId="0" shapeId="0">
      <text>
        <t>Source: source_register.csv
Decision date: 20 August 2026
Context: Source register row SRC-151.</t>
      </text>
    </comment>
    <comment ref="E159" authorId="0" shapeId="0">
      <text>
        <t>Source: source_register.csv
Decision date: 20 August 2026
Context: Source register row SRC-151.</t>
      </text>
    </comment>
    <comment ref="F159" authorId="0" shapeId="0">
      <text>
        <t>Source: source_register.csv
Decision date: 20 August 2026
Context: Source register row SRC-151.</t>
      </text>
    </comment>
    <comment ref="G159" authorId="0" shapeId="0">
      <text>
        <t>Source: source_register.csv
Decision date: 20 August 2026
Context: Source register row SRC-151.</t>
      </text>
    </comment>
    <comment ref="H159" authorId="0" shapeId="0">
      <text>
        <t>Source: source_register.csv
Decision date: 20 August 2026
Context: Source register row SRC-151.</t>
      </text>
    </comment>
    <comment ref="I159" authorId="0" shapeId="0">
      <text>
        <t>Source: source_register.csv
Decision date: 20 August 2026
Context: Source register row SRC-151.</t>
      </text>
    </comment>
    <comment ref="C160" authorId="0" shapeId="0">
      <text>
        <t>Source: source_register.csv
Decision date: 20 August 2026
Context: Source register row SRC-152.</t>
      </text>
    </comment>
    <comment ref="D160" authorId="0" shapeId="0">
      <text>
        <t>Source: source_register.csv
Decision date: 20 August 2026
Context: Source register row SRC-152.</t>
      </text>
    </comment>
    <comment ref="E160" authorId="0" shapeId="0">
      <text>
        <t>Source: source_register.csv
Decision date: 20 August 2026
Context: Source register row SRC-152.</t>
      </text>
    </comment>
    <comment ref="F160" authorId="0" shapeId="0">
      <text>
        <t>Source: source_register.csv
Decision date: 20 August 2026
Context: Source register row SRC-152.</t>
      </text>
    </comment>
    <comment ref="G160" authorId="0" shapeId="0">
      <text>
        <t>Source: source_register.csv
Decision date: 20 August 2026
Context: Source register row SRC-152.</t>
      </text>
    </comment>
    <comment ref="H160" authorId="0" shapeId="0">
      <text>
        <t>Source: source_register.csv
Decision date: 20 August 2026
Context: Source register row SRC-152.</t>
      </text>
    </comment>
    <comment ref="I160" authorId="0" shapeId="0">
      <text>
        <t>Source: source_register.csv
Decision date: 20 August 2026
Context: Source register row SRC-152.</t>
      </text>
    </comment>
    <comment ref="C161" authorId="0" shapeId="0">
      <text>
        <t>Source: source_register.csv
Decision date: 20 August 2026
Context: Source register row SRC-153.</t>
      </text>
    </comment>
    <comment ref="D161" authorId="0" shapeId="0">
      <text>
        <t>Source: source_register.csv
Decision date: 20 August 2026
Context: Source register row SRC-153.</t>
      </text>
    </comment>
    <comment ref="E161" authorId="0" shapeId="0">
      <text>
        <t>Source: source_register.csv
Decision date: 20 August 2026
Context: Source register row SRC-153.</t>
      </text>
    </comment>
    <comment ref="F161" authorId="0" shapeId="0">
      <text>
        <t>Source: source_register.csv
Decision date: 20 August 2026
Context: Source register row SRC-153.</t>
      </text>
    </comment>
    <comment ref="G161" authorId="0" shapeId="0">
      <text>
        <t>Source: source_register.csv
Decision date: 20 August 2026
Context: Source register row SRC-153.</t>
      </text>
    </comment>
    <comment ref="H161" authorId="0" shapeId="0">
      <text>
        <t>Source: source_register.csv
Decision date: 20 August 2026
Context: Source register row SRC-153.</t>
      </text>
    </comment>
    <comment ref="I161" authorId="0" shapeId="0">
      <text>
        <t>Source: source_register.csv
Decision date: 20 August 2026
Context: Source register row SRC-153.</t>
      </text>
    </comment>
    <comment ref="C162" authorId="0" shapeId="0">
      <text>
        <t>Source: source_register.csv
Decision date: 20 August 2026
Context: Source register row SRC-154.</t>
      </text>
    </comment>
    <comment ref="D162" authorId="0" shapeId="0">
      <text>
        <t>Source: source_register.csv
Decision date: 20 August 2026
Context: Source register row SRC-154.</t>
      </text>
    </comment>
    <comment ref="E162" authorId="0" shapeId="0">
      <text>
        <t>Source: source_register.csv
Decision date: 20 August 2026
Context: Source register row SRC-154.</t>
      </text>
    </comment>
    <comment ref="F162" authorId="0" shapeId="0">
      <text>
        <t>Source: source_register.csv
Decision date: 20 August 2026
Context: Source register row SRC-154.</t>
      </text>
    </comment>
    <comment ref="G162" authorId="0" shapeId="0">
      <text>
        <t>Source: source_register.csv
Decision date: 20 August 2026
Context: Source register row SRC-154.</t>
      </text>
    </comment>
    <comment ref="H162" authorId="0" shapeId="0">
      <text>
        <t>Source: source_register.csv
Decision date: 20 August 2026
Context: Source register row SRC-154.</t>
      </text>
    </comment>
    <comment ref="I162" authorId="0" shapeId="0">
      <text>
        <t>Source: source_register.csv
Decision date: 20 August 2026
Context: Source register row SRC-154.</t>
      </text>
    </comment>
    <comment ref="C163" authorId="0" shapeId="0">
      <text>
        <t>Source: source_register.csv
Decision date: 20 August 2026
Context: Source register row SRC-155.</t>
      </text>
    </comment>
    <comment ref="D163" authorId="0" shapeId="0">
      <text>
        <t>Source: source_register.csv
Decision date: 20 August 2026
Context: Source register row SRC-155.</t>
      </text>
    </comment>
    <comment ref="E163" authorId="0" shapeId="0">
      <text>
        <t>Source: source_register.csv
Decision date: 20 August 2026
Context: Source register row SRC-155.</t>
      </text>
    </comment>
    <comment ref="F163" authorId="0" shapeId="0">
      <text>
        <t>Source: source_register.csv
Decision date: 20 August 2026
Context: Source register row SRC-155.</t>
      </text>
    </comment>
    <comment ref="G163" authorId="0" shapeId="0">
      <text>
        <t>Source: source_register.csv
Decision date: 20 August 2026
Context: Source register row SRC-155.</t>
      </text>
    </comment>
    <comment ref="H163" authorId="0" shapeId="0">
      <text>
        <t>Source: source_register.csv
Decision date: 20 August 2026
Context: Source register row SRC-155.</t>
      </text>
    </comment>
    <comment ref="I163" authorId="0" shapeId="0">
      <text>
        <t>Source: source_register.csv
Decision date: 20 August 2026
Context: Source register row SRC-155.</t>
      </text>
    </comment>
    <comment ref="C164" authorId="0" shapeId="0">
      <text>
        <t>Source: source_register.csv
Decision date: 20 August 2026
Context: Source register row SRC-156.</t>
      </text>
    </comment>
    <comment ref="D164" authorId="0" shapeId="0">
      <text>
        <t>Source: source_register.csv
Decision date: 20 August 2026
Context: Source register row SRC-156.</t>
      </text>
    </comment>
    <comment ref="E164" authorId="0" shapeId="0">
      <text>
        <t>Source: source_register.csv
Decision date: 20 August 2026
Context: Source register row SRC-156.</t>
      </text>
    </comment>
    <comment ref="F164" authorId="0" shapeId="0">
      <text>
        <t>Source: source_register.csv
Decision date: 20 August 2026
Context: Source register row SRC-156.</t>
      </text>
    </comment>
    <comment ref="G164" authorId="0" shapeId="0">
      <text>
        <t>Source: source_register.csv
Decision date: 20 August 2026
Context: Source register row SRC-156.</t>
      </text>
    </comment>
    <comment ref="H164" authorId="0" shapeId="0">
      <text>
        <t>Source: source_register.csv
Decision date: 20 August 2026
Context: Source register row SRC-156.</t>
      </text>
    </comment>
    <comment ref="I164" authorId="0" shapeId="0">
      <text>
        <t>Source: source_register.csv
Decision date: 20 August 2026
Context: Source register row SRC-156.</t>
      </text>
    </comment>
    <comment ref="C165" authorId="0" shapeId="0">
      <text>
        <t>Source: source_register.csv
Decision date: 20 August 2026
Context: Source register row SRC-157.</t>
      </text>
    </comment>
    <comment ref="D165" authorId="0" shapeId="0">
      <text>
        <t>Source: source_register.csv
Decision date: 20 August 2026
Context: Source register row SRC-157.</t>
      </text>
    </comment>
    <comment ref="E165" authorId="0" shapeId="0">
      <text>
        <t>Source: source_register.csv
Decision date: 20 August 2026
Context: Source register row SRC-157.</t>
      </text>
    </comment>
    <comment ref="F165" authorId="0" shapeId="0">
      <text>
        <t>Source: source_register.csv
Decision date: 20 August 2026
Context: Source register row SRC-157.</t>
      </text>
    </comment>
    <comment ref="G165" authorId="0" shapeId="0">
      <text>
        <t>Source: source_register.csv
Decision date: 20 August 2026
Context: Source register row SRC-157.</t>
      </text>
    </comment>
    <comment ref="H165" authorId="0" shapeId="0">
      <text>
        <t>Source: source_register.csv
Decision date: 20 August 2026
Context: Source register row SRC-157.</t>
      </text>
    </comment>
    <comment ref="I165" authorId="0" shapeId="0">
      <text>
        <t>Source: source_register.csv
Decision date: 20 August 2026
Context: Source register row SRC-157.</t>
      </text>
    </comment>
    <comment ref="C166" authorId="0" shapeId="0">
      <text>
        <t>Source: source_register.csv
Decision date: 20 August 2026
Context: Source register row SRC-158.</t>
      </text>
    </comment>
    <comment ref="D166" authorId="0" shapeId="0">
      <text>
        <t>Source: source_register.csv
Decision date: 20 August 2026
Context: Source register row SRC-158.</t>
      </text>
    </comment>
    <comment ref="E166" authorId="0" shapeId="0">
      <text>
        <t>Source: source_register.csv
Decision date: 20 August 2026
Context: Source register row SRC-158.</t>
      </text>
    </comment>
    <comment ref="F166" authorId="0" shapeId="0">
      <text>
        <t>Source: source_register.csv
Decision date: 20 August 2026
Context: Source register row SRC-158.</t>
      </text>
    </comment>
    <comment ref="G166" authorId="0" shapeId="0">
      <text>
        <t>Source: source_register.csv
Decision date: 20 August 2026
Context: Source register row SRC-158.</t>
      </text>
    </comment>
    <comment ref="H166" authorId="0" shapeId="0">
      <text>
        <t>Source: source_register.csv
Decision date: 20 August 2026
Context: Source register row SRC-158.</t>
      </text>
    </comment>
    <comment ref="I166" authorId="0" shapeId="0">
      <text>
        <t>Source: source_register.csv
Decision date: 20 August 2026
Context: Source register row SRC-158.</t>
      </text>
    </comment>
    <comment ref="C167" authorId="0" shapeId="0">
      <text>
        <t>Source: source_register.csv
Decision date: 20 August 2026
Context: Source register row SRC-159.</t>
      </text>
    </comment>
    <comment ref="D167" authorId="0" shapeId="0">
      <text>
        <t>Source: source_register.csv
Decision date: 20 August 2026
Context: Source register row SRC-159.</t>
      </text>
    </comment>
    <comment ref="E167" authorId="0" shapeId="0">
      <text>
        <t>Source: source_register.csv
Decision date: 20 August 2026
Context: Source register row SRC-159.</t>
      </text>
    </comment>
    <comment ref="F167" authorId="0" shapeId="0">
      <text>
        <t>Source: source_register.csv
Decision date: 20 August 2026
Context: Source register row SRC-159.</t>
      </text>
    </comment>
    <comment ref="G167" authorId="0" shapeId="0">
      <text>
        <t>Source: source_register.csv
Decision date: 20 August 2026
Context: Source register row SRC-159.</t>
      </text>
    </comment>
    <comment ref="H167" authorId="0" shapeId="0">
      <text>
        <t>Source: source_register.csv
Decision date: 20 August 2026
Context: Source register row SRC-159.</t>
      </text>
    </comment>
    <comment ref="I167" authorId="0" shapeId="0">
      <text>
        <t>Source: source_register.csv
Decision date: 20 August 2026
Context: Source register row SRC-159.</t>
      </text>
    </comment>
    <comment ref="C168" authorId="0" shapeId="0">
      <text>
        <t>Source: source_register.csv
Decision date: 20 August 2026
Context: Source register row SRC-160.</t>
      </text>
    </comment>
    <comment ref="D168" authorId="0" shapeId="0">
      <text>
        <t>Source: source_register.csv
Decision date: 20 August 2026
Context: Source register row SRC-160.</t>
      </text>
    </comment>
    <comment ref="E168" authorId="0" shapeId="0">
      <text>
        <t>Source: source_register.csv
Decision date: 20 August 2026
Context: Source register row SRC-160.</t>
      </text>
    </comment>
    <comment ref="F168" authorId="0" shapeId="0">
      <text>
        <t>Source: source_register.csv
Decision date: 20 August 2026
Context: Source register row SRC-160.</t>
      </text>
    </comment>
    <comment ref="G168" authorId="0" shapeId="0">
      <text>
        <t>Source: source_register.csv
Decision date: 20 August 2026
Context: Source register row SRC-160.</t>
      </text>
    </comment>
    <comment ref="H168" authorId="0" shapeId="0">
      <text>
        <t>Source: source_register.csv
Decision date: 20 August 2026
Context: Source register row SRC-160.</t>
      </text>
    </comment>
    <comment ref="I168" authorId="0" shapeId="0">
      <text>
        <t>Source: source_register.csv
Decision date: 20 August 2026
Context: Source register row SRC-160.</t>
      </text>
    </comment>
    <comment ref="C169" authorId="0" shapeId="0">
      <text>
        <t>Source: source_register.csv
Decision date: 20 August 2026
Context: Source register row SRC-161.</t>
      </text>
    </comment>
    <comment ref="D169" authorId="0" shapeId="0">
      <text>
        <t>Source: source_register.csv
Decision date: 20 August 2026
Context: Source register row SRC-161.</t>
      </text>
    </comment>
    <comment ref="E169" authorId="0" shapeId="0">
      <text>
        <t>Source: source_register.csv
Decision date: 20 August 2026
Context: Source register row SRC-161.</t>
      </text>
    </comment>
    <comment ref="F169" authorId="0" shapeId="0">
      <text>
        <t>Source: source_register.csv
Decision date: 20 August 2026
Context: Source register row SRC-161.</t>
      </text>
    </comment>
    <comment ref="G169" authorId="0" shapeId="0">
      <text>
        <t>Source: source_register.csv
Decision date: 20 August 2026
Context: Source register row SRC-161.</t>
      </text>
    </comment>
    <comment ref="H169" authorId="0" shapeId="0">
      <text>
        <t>Source: source_register.csv
Decision date: 20 August 2026
Context: Source register row SRC-161.</t>
      </text>
    </comment>
    <comment ref="I169" authorId="0" shapeId="0">
      <text>
        <t>Source: source_register.csv
Decision date: 20 August 2026
Context: Source register row SRC-161.</t>
      </text>
    </comment>
    <comment ref="C170" authorId="0" shapeId="0">
      <text>
        <t>Source: source_register.csv
Decision date: 20 August 2026
Context: Source register row SRC-162.</t>
      </text>
    </comment>
    <comment ref="D170" authorId="0" shapeId="0">
      <text>
        <t>Source: source_register.csv
Decision date: 20 August 2026
Context: Source register row SRC-162.</t>
      </text>
    </comment>
    <comment ref="E170" authorId="0" shapeId="0">
      <text>
        <t>Source: source_register.csv
Decision date: 20 August 2026
Context: Source register row SRC-162.</t>
      </text>
    </comment>
    <comment ref="F170" authorId="0" shapeId="0">
      <text>
        <t>Source: source_register.csv
Decision date: 20 August 2026
Context: Source register row SRC-162.</t>
      </text>
    </comment>
    <comment ref="G170" authorId="0" shapeId="0">
      <text>
        <t>Source: source_register.csv
Decision date: 20 August 2026
Context: Source register row SRC-162.</t>
      </text>
    </comment>
    <comment ref="H170" authorId="0" shapeId="0">
      <text>
        <t>Source: source_register.csv
Decision date: 20 August 2026
Context: Source register row SRC-162.</t>
      </text>
    </comment>
    <comment ref="I170" authorId="0" shapeId="0">
      <text>
        <t>Source: source_register.csv
Decision date: 20 August 2026
Context: Source register row SRC-162.</t>
      </text>
    </comment>
    <comment ref="C171" authorId="0" shapeId="0">
      <text>
        <t>Source: source_register.csv
Decision date: 20 August 2026
Context: Source register row SRC-163.</t>
      </text>
    </comment>
    <comment ref="D171" authorId="0" shapeId="0">
      <text>
        <t>Source: source_register.csv
Decision date: 20 August 2026
Context: Source register row SRC-163.</t>
      </text>
    </comment>
    <comment ref="E171" authorId="0" shapeId="0">
      <text>
        <t>Source: source_register.csv
Decision date: 20 August 2026
Context: Source register row SRC-163.</t>
      </text>
    </comment>
    <comment ref="F171" authorId="0" shapeId="0">
      <text>
        <t>Source: source_register.csv
Decision date: 20 August 2026
Context: Source register row SRC-163.</t>
      </text>
    </comment>
    <comment ref="G171" authorId="0" shapeId="0">
      <text>
        <t>Source: source_register.csv
Decision date: 20 August 2026
Context: Source register row SRC-163.</t>
      </text>
    </comment>
    <comment ref="H171" authorId="0" shapeId="0">
      <text>
        <t>Source: source_register.csv
Decision date: 20 August 2026
Context: Source register row SRC-163.</t>
      </text>
    </comment>
    <comment ref="I171" authorId="0" shapeId="0">
      <text>
        <t>Source: source_register.csv
Decision date: 20 August 2026
Context: Source register row SRC-163.</t>
      </text>
    </comment>
    <comment ref="C172" authorId="0" shapeId="0">
      <text>
        <t>Source: source_register.csv
Decision date: 20 August 2026
Context: Source register row SRC-164.</t>
      </text>
    </comment>
    <comment ref="D172" authorId="0" shapeId="0">
      <text>
        <t>Source: source_register.csv
Decision date: 20 August 2026
Context: Source register row SRC-164.</t>
      </text>
    </comment>
    <comment ref="E172" authorId="0" shapeId="0">
      <text>
        <t>Source: source_register.csv
Decision date: 20 August 2026
Context: Source register row SRC-164.</t>
      </text>
    </comment>
    <comment ref="F172" authorId="0" shapeId="0">
      <text>
        <t>Source: source_register.csv
Decision date: 20 August 2026
Context: Source register row SRC-164.</t>
      </text>
    </comment>
    <comment ref="G172" authorId="0" shapeId="0">
      <text>
        <t>Source: source_register.csv
Decision date: 20 August 2026
Context: Source register row SRC-164.</t>
      </text>
    </comment>
    <comment ref="H172" authorId="0" shapeId="0">
      <text>
        <t>Source: source_register.csv
Decision date: 20 August 2026
Context: Source register row SRC-164.</t>
      </text>
    </comment>
    <comment ref="I172" authorId="0" shapeId="0">
      <text>
        <t>Source: source_register.csv
Decision date: 20 August 2026
Context: Source register row SRC-164.</t>
      </text>
    </comment>
    <comment ref="C173" authorId="0" shapeId="0">
      <text>
        <t>Source: source_register.csv
Decision date: 20 August 2026
Context: Source register row SRC-165.</t>
      </text>
    </comment>
    <comment ref="D173" authorId="0" shapeId="0">
      <text>
        <t>Source: source_register.csv
Decision date: 20 August 2026
Context: Source register row SRC-165.</t>
      </text>
    </comment>
    <comment ref="E173" authorId="0" shapeId="0">
      <text>
        <t>Source: source_register.csv
Decision date: 20 August 2026
Context: Source register row SRC-165.</t>
      </text>
    </comment>
    <comment ref="F173" authorId="0" shapeId="0">
      <text>
        <t>Source: source_register.csv
Decision date: 20 August 2026
Context: Source register row SRC-165.</t>
      </text>
    </comment>
    <comment ref="G173" authorId="0" shapeId="0">
      <text>
        <t>Source: source_register.csv
Decision date: 20 August 2026
Context: Source register row SRC-165.</t>
      </text>
    </comment>
    <comment ref="H173" authorId="0" shapeId="0">
      <text>
        <t>Source: source_register.csv
Decision date: 20 August 2026
Context: Source register row SRC-165.</t>
      </text>
    </comment>
    <comment ref="I173" authorId="0" shapeId="0">
      <text>
        <t>Source: source_register.csv
Decision date: 20 August 2026
Context: Source register row SRC-165.</t>
      </text>
    </comment>
    <comment ref="C174" authorId="0" shapeId="0">
      <text>
        <t>Source: source_register.csv
Decision date: 20 August 2026
Context: Source register row SRC-166.</t>
      </text>
    </comment>
    <comment ref="D174" authorId="0" shapeId="0">
      <text>
        <t>Source: source_register.csv
Decision date: 20 August 2026
Context: Source register row SRC-166.</t>
      </text>
    </comment>
    <comment ref="E174" authorId="0" shapeId="0">
      <text>
        <t>Source: source_register.csv
Decision date: 20 August 2026
Context: Source register row SRC-166.</t>
      </text>
    </comment>
    <comment ref="F174" authorId="0" shapeId="0">
      <text>
        <t>Source: source_register.csv
Decision date: 20 August 2026
Context: Source register row SRC-166.</t>
      </text>
    </comment>
    <comment ref="G174" authorId="0" shapeId="0">
      <text>
        <t>Source: source_register.csv
Decision date: 20 August 2026
Context: Source register row SRC-166.</t>
      </text>
    </comment>
    <comment ref="H174" authorId="0" shapeId="0">
      <text>
        <t>Source: source_register.csv
Decision date: 20 August 2026
Context: Source register row SRC-166.</t>
      </text>
    </comment>
    <comment ref="I174" authorId="0" shapeId="0">
      <text>
        <t>Source: source_register.csv
Decision date: 20 August 2026
Context: Source register row SRC-166.</t>
      </text>
    </comment>
    <comment ref="C175" authorId="0" shapeId="0">
      <text>
        <t>Source: source_register.csv
Decision date: 20 August 2026
Context: Source register row SRC-167.</t>
      </text>
    </comment>
    <comment ref="D175" authorId="0" shapeId="0">
      <text>
        <t>Source: source_register.csv
Decision date: 20 August 2026
Context: Source register row SRC-167.</t>
      </text>
    </comment>
    <comment ref="E175" authorId="0" shapeId="0">
      <text>
        <t>Source: source_register.csv
Decision date: 20 August 2026
Context: Source register row SRC-167.</t>
      </text>
    </comment>
    <comment ref="F175" authorId="0" shapeId="0">
      <text>
        <t>Source: source_register.csv
Decision date: 20 August 2026
Context: Source register row SRC-167.</t>
      </text>
    </comment>
    <comment ref="G175" authorId="0" shapeId="0">
      <text>
        <t>Source: source_register.csv
Decision date: 20 August 2026
Context: Source register row SRC-167.</t>
      </text>
    </comment>
    <comment ref="H175" authorId="0" shapeId="0">
      <text>
        <t>Source: source_register.csv
Decision date: 20 August 2026
Context: Source register row SRC-167.</t>
      </text>
    </comment>
    <comment ref="I175" authorId="0" shapeId="0">
      <text>
        <t>Source: source_register.csv
Decision date: 20 August 2026
Context: Source register row SRC-167.</t>
      </text>
    </comment>
    <comment ref="C176" authorId="0" shapeId="0">
      <text>
        <t>Source: source_register.csv
Decision date: 20 August 2026
Context: Source register row SRC-168.</t>
      </text>
    </comment>
    <comment ref="D176" authorId="0" shapeId="0">
      <text>
        <t>Source: source_register.csv
Decision date: 20 August 2026
Context: Source register row SRC-168.</t>
      </text>
    </comment>
    <comment ref="E176" authorId="0" shapeId="0">
      <text>
        <t>Source: source_register.csv
Decision date: 20 August 2026
Context: Source register row SRC-168.</t>
      </text>
    </comment>
    <comment ref="F176" authorId="0" shapeId="0">
      <text>
        <t>Source: source_register.csv
Decision date: 20 August 2026
Context: Source register row SRC-168.</t>
      </text>
    </comment>
    <comment ref="G176" authorId="0" shapeId="0">
      <text>
        <t>Source: source_register.csv
Decision date: 20 August 2026
Context: Source register row SRC-168.</t>
      </text>
    </comment>
    <comment ref="H176" authorId="0" shapeId="0">
      <text>
        <t>Source: source_register.csv
Decision date: 20 August 2026
Context: Source register row SRC-168.</t>
      </text>
    </comment>
    <comment ref="I176" authorId="0" shapeId="0">
      <text>
        <t>Source: source_register.csv
Decision date: 20 August 2026
Context: Source register row SRC-168.</t>
      </text>
    </comment>
    <comment ref="C177" authorId="0" shapeId="0">
      <text>
        <t>Source: source_register.csv
Decision date: 20 August 2026
Context: Source register row SRC-169.</t>
      </text>
    </comment>
    <comment ref="D177" authorId="0" shapeId="0">
      <text>
        <t>Source: source_register.csv
Decision date: 20 August 2026
Context: Source register row SRC-169.</t>
      </text>
    </comment>
    <comment ref="E177" authorId="0" shapeId="0">
      <text>
        <t>Source: source_register.csv
Decision date: 20 August 2026
Context: Source register row SRC-169.</t>
      </text>
    </comment>
    <comment ref="F177" authorId="0" shapeId="0">
      <text>
        <t>Source: source_register.csv
Decision date: 20 August 2026
Context: Source register row SRC-169.</t>
      </text>
    </comment>
    <comment ref="G177" authorId="0" shapeId="0">
      <text>
        <t>Source: source_register.csv
Decision date: 20 August 2026
Context: Source register row SRC-169.</t>
      </text>
    </comment>
    <comment ref="H177" authorId="0" shapeId="0">
      <text>
        <t>Source: source_register.csv
Decision date: 20 August 2026
Context: Source register row SRC-169.</t>
      </text>
    </comment>
    <comment ref="I177" authorId="0" shapeId="0">
      <text>
        <t>Source: source_register.csv
Decision date: 20 August 2026
Context: Source register row SRC-169.</t>
      </text>
    </comment>
    <comment ref="C178" authorId="0" shapeId="0">
      <text>
        <t>Source: source_register.csv
Decision date: 20 August 2026
Context: Source register row SRC-170.</t>
      </text>
    </comment>
    <comment ref="D178" authorId="0" shapeId="0">
      <text>
        <t>Source: source_register.csv
Decision date: 20 August 2026
Context: Source register row SRC-170.</t>
      </text>
    </comment>
    <comment ref="E178" authorId="0" shapeId="0">
      <text>
        <t>Source: source_register.csv
Decision date: 20 August 2026
Context: Source register row SRC-170.</t>
      </text>
    </comment>
    <comment ref="F178" authorId="0" shapeId="0">
      <text>
        <t>Source: source_register.csv
Decision date: 20 August 2026
Context: Source register row SRC-170.</t>
      </text>
    </comment>
    <comment ref="G178" authorId="0" shapeId="0">
      <text>
        <t>Source: source_register.csv
Decision date: 20 August 2026
Context: Source register row SRC-170.</t>
      </text>
    </comment>
    <comment ref="H178" authorId="0" shapeId="0">
      <text>
        <t>Source: source_register.csv
Decision date: 20 August 2026
Context: Source register row SRC-170.</t>
      </text>
    </comment>
    <comment ref="I178" authorId="0" shapeId="0">
      <text>
        <t>Source: source_register.csv
Decision date: 20 August 2026
Context: Source register row SRC-170.</t>
      </text>
    </comment>
    <comment ref="C179" authorId="0" shapeId="0">
      <text>
        <t>Source: source_register.csv
Decision date: 20 August 2026
Context: Source register row SRC-171.</t>
      </text>
    </comment>
    <comment ref="D179" authorId="0" shapeId="0">
      <text>
        <t>Source: source_register.csv
Decision date: 20 August 2026
Context: Source register row SRC-171.</t>
      </text>
    </comment>
    <comment ref="E179" authorId="0" shapeId="0">
      <text>
        <t>Source: source_register.csv
Decision date: 20 August 2026
Context: Source register row SRC-171.</t>
      </text>
    </comment>
    <comment ref="F179" authorId="0" shapeId="0">
      <text>
        <t>Source: source_register.csv
Decision date: 20 August 2026
Context: Source register row SRC-171.</t>
      </text>
    </comment>
    <comment ref="G179" authorId="0" shapeId="0">
      <text>
        <t>Source: source_register.csv
Decision date: 20 August 2026
Context: Source register row SRC-171.</t>
      </text>
    </comment>
    <comment ref="H179" authorId="0" shapeId="0">
      <text>
        <t>Source: source_register.csv
Decision date: 20 August 2026
Context: Source register row SRC-171.</t>
      </text>
    </comment>
    <comment ref="I179" authorId="0" shapeId="0">
      <text>
        <t>Source: source_register.csv
Decision date: 20 August 2026
Context: Source register row SRC-171.</t>
      </text>
    </comment>
    <comment ref="C180" authorId="0" shapeId="0">
      <text>
        <t>Source: source_register.csv
Decision date: 20 August 2026
Context: Source register row SRC-172.</t>
      </text>
    </comment>
    <comment ref="D180" authorId="0" shapeId="0">
      <text>
        <t>Source: source_register.csv
Decision date: 20 August 2026
Context: Source register row SRC-172.</t>
      </text>
    </comment>
    <comment ref="E180" authorId="0" shapeId="0">
      <text>
        <t>Source: source_register.csv
Decision date: 20 August 2026
Context: Source register row SRC-172.</t>
      </text>
    </comment>
    <comment ref="F180" authorId="0" shapeId="0">
      <text>
        <t>Source: source_register.csv
Decision date: 20 August 2026
Context: Source register row SRC-172.</t>
      </text>
    </comment>
    <comment ref="G180" authorId="0" shapeId="0">
      <text>
        <t>Source: source_register.csv
Decision date: 20 August 2026
Context: Source register row SRC-172.</t>
      </text>
    </comment>
    <comment ref="H180" authorId="0" shapeId="0">
      <text>
        <t>Source: source_register.csv
Decision date: 20 August 2026
Context: Source register row SRC-172.</t>
      </text>
    </comment>
    <comment ref="I180" authorId="0" shapeId="0">
      <text>
        <t>Source: source_register.csv
Decision date: 20 August 2026
Context: Source register row SRC-172.</t>
      </text>
    </comment>
    <comment ref="C181" authorId="0" shapeId="0">
      <text>
        <t>Source: source_register.csv
Decision date: 20 August 2026
Context: Source register row SRC-173.</t>
      </text>
    </comment>
    <comment ref="D181" authorId="0" shapeId="0">
      <text>
        <t>Source: source_register.csv
Decision date: 20 August 2026
Context: Source register row SRC-173.</t>
      </text>
    </comment>
    <comment ref="E181" authorId="0" shapeId="0">
      <text>
        <t>Source: source_register.csv
Decision date: 20 August 2026
Context: Source register row SRC-173.</t>
      </text>
    </comment>
    <comment ref="F181" authorId="0" shapeId="0">
      <text>
        <t>Source: source_register.csv
Decision date: 20 August 2026
Context: Source register row SRC-173.</t>
      </text>
    </comment>
    <comment ref="G181" authorId="0" shapeId="0">
      <text>
        <t>Source: source_register.csv
Decision date: 20 August 2026
Context: Source register row SRC-173.</t>
      </text>
    </comment>
    <comment ref="H181" authorId="0" shapeId="0">
      <text>
        <t>Source: source_register.csv
Decision date: 20 August 2026
Context: Source register row SRC-173.</t>
      </text>
    </comment>
    <comment ref="I181" authorId="0" shapeId="0">
      <text>
        <t>Source: source_register.csv
Decision date: 20 August 2026
Context: Source register row SRC-173.</t>
      </text>
    </comment>
    <comment ref="C182" authorId="0" shapeId="0">
      <text>
        <t>Source: source_register.csv
Decision date: 20 August 2026
Context: Source register row SRC-174.</t>
      </text>
    </comment>
    <comment ref="D182" authorId="0" shapeId="0">
      <text>
        <t>Source: source_register.csv
Decision date: 20 August 2026
Context: Source register row SRC-174.</t>
      </text>
    </comment>
    <comment ref="E182" authorId="0" shapeId="0">
      <text>
        <t>Source: source_register.csv
Decision date: 20 August 2026
Context: Source register row SRC-174.</t>
      </text>
    </comment>
    <comment ref="F182" authorId="0" shapeId="0">
      <text>
        <t>Source: source_register.csv
Decision date: 20 August 2026
Context: Source register row SRC-174.</t>
      </text>
    </comment>
    <comment ref="G182" authorId="0" shapeId="0">
      <text>
        <t>Source: source_register.csv
Decision date: 20 August 2026
Context: Source register row SRC-174.</t>
      </text>
    </comment>
    <comment ref="H182" authorId="0" shapeId="0">
      <text>
        <t>Source: source_register.csv
Decision date: 20 August 2026
Context: Source register row SRC-174.</t>
      </text>
    </comment>
    <comment ref="I182" authorId="0" shapeId="0">
      <text>
        <t>Source: source_register.csv
Decision date: 20 August 2026
Context: Source register row SRC-174.</t>
      </text>
    </comment>
    <comment ref="C183" authorId="0" shapeId="0">
      <text>
        <t>Source: source_register.csv
Decision date: 20 August 2026
Context: Source register row SRC-175.</t>
      </text>
    </comment>
    <comment ref="D183" authorId="0" shapeId="0">
      <text>
        <t>Source: source_register.csv
Decision date: 20 August 2026
Context: Source register row SRC-175.</t>
      </text>
    </comment>
    <comment ref="E183" authorId="0" shapeId="0">
      <text>
        <t>Source: source_register.csv
Decision date: 20 August 2026
Context: Source register row SRC-175.</t>
      </text>
    </comment>
    <comment ref="F183" authorId="0" shapeId="0">
      <text>
        <t>Source: source_register.csv
Decision date: 20 August 2026
Context: Source register row SRC-175.</t>
      </text>
    </comment>
    <comment ref="G183" authorId="0" shapeId="0">
      <text>
        <t>Source: source_register.csv
Decision date: 20 August 2026
Context: Source register row SRC-175.</t>
      </text>
    </comment>
    <comment ref="H183" authorId="0" shapeId="0">
      <text>
        <t>Source: source_register.csv
Decision date: 20 August 2026
Context: Source register row SRC-175.</t>
      </text>
    </comment>
    <comment ref="I183" authorId="0" shapeId="0">
      <text>
        <t>Source: source_register.csv
Decision date: 20 August 2026
Context: Source register row SRC-175.</t>
      </text>
    </comment>
    <comment ref="C184" authorId="0" shapeId="0">
      <text>
        <t>Source: source_register.csv
Decision date: 20 August 2026
Context: Source register row SRC-176.</t>
      </text>
    </comment>
    <comment ref="D184" authorId="0" shapeId="0">
      <text>
        <t>Source: source_register.csv
Decision date: 20 August 2026
Context: Source register row SRC-176.</t>
      </text>
    </comment>
    <comment ref="E184" authorId="0" shapeId="0">
      <text>
        <t>Source: source_register.csv
Decision date: 20 August 2026
Context: Source register row SRC-176.</t>
      </text>
    </comment>
    <comment ref="F184" authorId="0" shapeId="0">
      <text>
        <t>Source: source_register.csv
Decision date: 20 August 2026
Context: Source register row SRC-176.</t>
      </text>
    </comment>
    <comment ref="G184" authorId="0" shapeId="0">
      <text>
        <t>Source: source_register.csv
Decision date: 20 August 2026
Context: Source register row SRC-176.</t>
      </text>
    </comment>
    <comment ref="H184" authorId="0" shapeId="0">
      <text>
        <t>Source: source_register.csv
Decision date: 20 August 2026
Context: Source register row SRC-176.</t>
      </text>
    </comment>
    <comment ref="I184" authorId="0" shapeId="0">
      <text>
        <t>Source: source_register.csv
Decision date: 20 August 2026
Context: Source register row SRC-176.</t>
      </text>
    </comment>
    <comment ref="C185" authorId="0" shapeId="0">
      <text>
        <t>Source: source_register.csv
Decision date: 20 August 2026
Context: Source register row SRC-177.</t>
      </text>
    </comment>
    <comment ref="D185" authorId="0" shapeId="0">
      <text>
        <t>Source: source_register.csv
Decision date: 20 August 2026
Context: Source register row SRC-177.</t>
      </text>
    </comment>
    <comment ref="E185" authorId="0" shapeId="0">
      <text>
        <t>Source: source_register.csv
Decision date: 20 August 2026
Context: Source register row SRC-177.</t>
      </text>
    </comment>
    <comment ref="F185" authorId="0" shapeId="0">
      <text>
        <t>Source: source_register.csv
Decision date: 20 August 2026
Context: Source register row SRC-177.</t>
      </text>
    </comment>
    <comment ref="G185" authorId="0" shapeId="0">
      <text>
        <t>Source: source_register.csv
Decision date: 20 August 2026
Context: Source register row SRC-177.</t>
      </text>
    </comment>
    <comment ref="H185" authorId="0" shapeId="0">
      <text>
        <t>Source: source_register.csv
Decision date: 20 August 2026
Context: Source register row SRC-177.</t>
      </text>
    </comment>
    <comment ref="I185" authorId="0" shapeId="0">
      <text>
        <t>Source: source_register.csv
Decision date: 20 August 2026
Context: Source register row SRC-177.</t>
      </text>
    </comment>
    <comment ref="C186" authorId="0" shapeId="0">
      <text>
        <t>Source: source_register.csv
Decision date: 20 August 2026
Context: Source register row SRC-178.</t>
      </text>
    </comment>
    <comment ref="D186" authorId="0" shapeId="0">
      <text>
        <t>Source: source_register.csv
Decision date: 20 August 2026
Context: Source register row SRC-178.</t>
      </text>
    </comment>
    <comment ref="E186" authorId="0" shapeId="0">
      <text>
        <t>Source: source_register.csv
Decision date: 20 August 2026
Context: Source register row SRC-178.</t>
      </text>
    </comment>
    <comment ref="F186" authorId="0" shapeId="0">
      <text>
        <t>Source: source_register.csv
Decision date: 20 August 2026
Context: Source register row SRC-178.</t>
      </text>
    </comment>
    <comment ref="G186" authorId="0" shapeId="0">
      <text>
        <t>Source: source_register.csv
Decision date: 20 August 2026
Context: Source register row SRC-178.</t>
      </text>
    </comment>
    <comment ref="H186" authorId="0" shapeId="0">
      <text>
        <t>Source: source_register.csv
Decision date: 20 August 2026
Context: Source register row SRC-178.</t>
      </text>
    </comment>
    <comment ref="I186" authorId="0" shapeId="0">
      <text>
        <t>Source: source_register.csv
Decision date: 20 August 2026
Context: Source register row SRC-178.</t>
      </text>
    </comment>
    <comment ref="C187" authorId="0" shapeId="0">
      <text>
        <t>Source: source_register.csv
Decision date: 20 August 2026
Context: Source register row SRC-179.</t>
      </text>
    </comment>
    <comment ref="D187" authorId="0" shapeId="0">
      <text>
        <t>Source: source_register.csv
Decision date: 20 August 2026
Context: Source register row SRC-179.</t>
      </text>
    </comment>
    <comment ref="E187" authorId="0" shapeId="0">
      <text>
        <t>Source: source_register.csv
Decision date: 20 August 2026
Context: Source register row SRC-179.</t>
      </text>
    </comment>
    <comment ref="F187" authorId="0" shapeId="0">
      <text>
        <t>Source: source_register.csv
Decision date: 20 August 2026
Context: Source register row SRC-179.</t>
      </text>
    </comment>
    <comment ref="G187" authorId="0" shapeId="0">
      <text>
        <t>Source: source_register.csv
Decision date: 20 August 2026
Context: Source register row SRC-179.</t>
      </text>
    </comment>
    <comment ref="H187" authorId="0" shapeId="0">
      <text>
        <t>Source: source_register.csv
Decision date: 20 August 2026
Context: Source register row SRC-179.</t>
      </text>
    </comment>
    <comment ref="I187" authorId="0" shapeId="0">
      <text>
        <t>Source: source_register.csv
Decision date: 20 August 2026
Context: Source register row SRC-179.</t>
      </text>
    </comment>
    <comment ref="C188" authorId="0" shapeId="0">
      <text>
        <t>Source: source_register.csv
Decision date: 20 August 2026
Context: Source register row SRC-180.</t>
      </text>
    </comment>
    <comment ref="D188" authorId="0" shapeId="0">
      <text>
        <t>Source: source_register.csv
Decision date: 20 August 2026
Context: Source register row SRC-180.</t>
      </text>
    </comment>
    <comment ref="E188" authorId="0" shapeId="0">
      <text>
        <t>Source: source_register.csv
Decision date: 20 August 2026
Context: Source register row SRC-180.</t>
      </text>
    </comment>
    <comment ref="F188" authorId="0" shapeId="0">
      <text>
        <t>Source: source_register.csv
Decision date: 20 August 2026
Context: Source register row SRC-180.</t>
      </text>
    </comment>
    <comment ref="G188" authorId="0" shapeId="0">
      <text>
        <t>Source: source_register.csv
Decision date: 20 August 2026
Context: Source register row SRC-180.</t>
      </text>
    </comment>
    <comment ref="H188" authorId="0" shapeId="0">
      <text>
        <t>Source: source_register.csv
Decision date: 20 August 2026
Context: Source register row SRC-180.</t>
      </text>
    </comment>
    <comment ref="I188" authorId="0" shapeId="0">
      <text>
        <t>Source: source_register.csv
Decision date: 20 August 2026
Context: Source register row SRC-180.</t>
      </text>
    </comment>
    <comment ref="C189" authorId="0" shapeId="0">
      <text>
        <t>Source: source_register.csv
Decision date: 20 August 2026
Context: Source register row SRC-181.</t>
      </text>
    </comment>
    <comment ref="D189" authorId="0" shapeId="0">
      <text>
        <t>Source: source_register.csv
Decision date: 20 August 2026
Context: Source register row SRC-181.</t>
      </text>
    </comment>
    <comment ref="E189" authorId="0" shapeId="0">
      <text>
        <t>Source: source_register.csv
Decision date: 20 August 2026
Context: Source register row SRC-181.</t>
      </text>
    </comment>
    <comment ref="F189" authorId="0" shapeId="0">
      <text>
        <t>Source: source_register.csv
Decision date: 20 August 2026
Context: Source register row SRC-181.</t>
      </text>
    </comment>
    <comment ref="G189" authorId="0" shapeId="0">
      <text>
        <t>Source: source_register.csv
Decision date: 20 August 2026
Context: Source register row SRC-181.</t>
      </text>
    </comment>
    <comment ref="H189" authorId="0" shapeId="0">
      <text>
        <t>Source: source_register.csv
Decision date: 20 August 2026
Context: Source register row SRC-181.</t>
      </text>
    </comment>
    <comment ref="I189" authorId="0" shapeId="0">
      <text>
        <t>Source: source_register.csv
Decision date: 20 August 2026
Context: Source register row SRC-181.</t>
      </text>
    </comment>
    <comment ref="C190" authorId="0" shapeId="0">
      <text>
        <t>Source: source_register.csv
Decision date: 20 August 2026
Context: Source register row SRC-182.</t>
      </text>
    </comment>
    <comment ref="D190" authorId="0" shapeId="0">
      <text>
        <t>Source: source_register.csv
Decision date: 20 August 2026
Context: Source register row SRC-182.</t>
      </text>
    </comment>
    <comment ref="E190" authorId="0" shapeId="0">
      <text>
        <t>Source: source_register.csv
Decision date: 20 August 2026
Context: Source register row SRC-182.</t>
      </text>
    </comment>
    <comment ref="F190" authorId="0" shapeId="0">
      <text>
        <t>Source: source_register.csv
Decision date: 20 August 2026
Context: Source register row SRC-182.</t>
      </text>
    </comment>
    <comment ref="G190" authorId="0" shapeId="0">
      <text>
        <t>Source: source_register.csv
Decision date: 20 August 2026
Context: Source register row SRC-182.</t>
      </text>
    </comment>
    <comment ref="H190" authorId="0" shapeId="0">
      <text>
        <t>Source: source_register.csv
Decision date: 20 August 2026
Context: Source register row SRC-182.</t>
      </text>
    </comment>
    <comment ref="I190" authorId="0" shapeId="0">
      <text>
        <t>Source: source_register.csv
Decision date: 20 August 2026
Context: Source register row SRC-182.</t>
      </text>
    </comment>
    <comment ref="C191" authorId="0" shapeId="0">
      <text>
        <t>Source: source_register.csv
Decision date: 20 August 2026
Context: Source register row SRC-183.</t>
      </text>
    </comment>
    <comment ref="D191" authorId="0" shapeId="0">
      <text>
        <t>Source: source_register.csv
Decision date: 20 August 2026
Context: Source register row SRC-183.</t>
      </text>
    </comment>
    <comment ref="E191" authorId="0" shapeId="0">
      <text>
        <t>Source: source_register.csv
Decision date: 20 August 2026
Context: Source register row SRC-183.</t>
      </text>
    </comment>
    <comment ref="F191" authorId="0" shapeId="0">
      <text>
        <t>Source: source_register.csv
Decision date: 20 August 2026
Context: Source register row SRC-183.</t>
      </text>
    </comment>
    <comment ref="G191" authorId="0" shapeId="0">
      <text>
        <t>Source: source_register.csv
Decision date: 20 August 2026
Context: Source register row SRC-183.</t>
      </text>
    </comment>
    <comment ref="H191" authorId="0" shapeId="0">
      <text>
        <t>Source: source_register.csv
Decision date: 20 August 2026
Context: Source register row SRC-183.</t>
      </text>
    </comment>
    <comment ref="I191" authorId="0" shapeId="0">
      <text>
        <t>Source: source_register.csv
Decision date: 20 August 2026
Context: Source register row SRC-183.</t>
      </text>
    </comment>
    <comment ref="C192" authorId="0" shapeId="0">
      <text>
        <t>Source: source_register.csv
Decision date: 20 August 2026
Context: Source register row SRC-184.</t>
      </text>
    </comment>
    <comment ref="D192" authorId="0" shapeId="0">
      <text>
        <t>Source: source_register.csv
Decision date: 20 August 2026
Context: Source register row SRC-184.</t>
      </text>
    </comment>
    <comment ref="E192" authorId="0" shapeId="0">
      <text>
        <t>Source: source_register.csv
Decision date: 20 August 2026
Context: Source register row SRC-184.</t>
      </text>
    </comment>
    <comment ref="F192" authorId="0" shapeId="0">
      <text>
        <t>Source: source_register.csv
Decision date: 20 August 2026
Context: Source register row SRC-184.</t>
      </text>
    </comment>
    <comment ref="G192" authorId="0" shapeId="0">
      <text>
        <t>Source: source_register.csv
Decision date: 20 August 2026
Context: Source register row SRC-184.</t>
      </text>
    </comment>
    <comment ref="H192" authorId="0" shapeId="0">
      <text>
        <t>Source: source_register.csv
Decision date: 20 August 2026
Context: Source register row SRC-184.</t>
      </text>
    </comment>
    <comment ref="I192" authorId="0" shapeId="0">
      <text>
        <t>Source: source_register.csv
Decision date: 20 August 2026
Context: Source register row SRC-184.</t>
      </text>
    </comment>
    <comment ref="C193" authorId="0" shapeId="0">
      <text>
        <t>Source: source_register.csv
Decision date: 20 August 2026
Context: Source register row SRC-185.</t>
      </text>
    </comment>
    <comment ref="D193" authorId="0" shapeId="0">
      <text>
        <t>Source: source_register.csv
Decision date: 20 August 2026
Context: Source register row SRC-185.</t>
      </text>
    </comment>
    <comment ref="E193" authorId="0" shapeId="0">
      <text>
        <t>Source: source_register.csv
Decision date: 20 August 2026
Context: Source register row SRC-185.</t>
      </text>
    </comment>
    <comment ref="F193" authorId="0" shapeId="0">
      <text>
        <t>Source: source_register.csv
Decision date: 20 August 2026
Context: Source register row SRC-185.</t>
      </text>
    </comment>
    <comment ref="G193" authorId="0" shapeId="0">
      <text>
        <t>Source: source_register.csv
Decision date: 20 August 2026
Context: Source register row SRC-185.</t>
      </text>
    </comment>
    <comment ref="H193" authorId="0" shapeId="0">
      <text>
        <t>Source: source_register.csv
Decision date: 20 August 2026
Context: Source register row SRC-185.</t>
      </text>
    </comment>
    <comment ref="I193" authorId="0" shapeId="0">
      <text>
        <t>Source: source_register.csv
Decision date: 20 August 2026
Context: Source register row SRC-185.</t>
      </text>
    </comment>
    <comment ref="C194" authorId="0" shapeId="0">
      <text>
        <t>Source: source_register.csv
Decision date: 20 August 2026
Context: Source register row SRC-186.</t>
      </text>
    </comment>
    <comment ref="D194" authorId="0" shapeId="0">
      <text>
        <t>Source: source_register.csv
Decision date: 20 August 2026
Context: Source register row SRC-186.</t>
      </text>
    </comment>
    <comment ref="E194" authorId="0" shapeId="0">
      <text>
        <t>Source: source_register.csv
Decision date: 20 August 2026
Context: Source register row SRC-186.</t>
      </text>
    </comment>
    <comment ref="F194" authorId="0" shapeId="0">
      <text>
        <t>Source: source_register.csv
Decision date: 20 August 2026
Context: Source register row SRC-186.</t>
      </text>
    </comment>
    <comment ref="G194" authorId="0" shapeId="0">
      <text>
        <t>Source: source_register.csv
Decision date: 20 August 2026
Context: Source register row SRC-186.</t>
      </text>
    </comment>
    <comment ref="H194" authorId="0" shapeId="0">
      <text>
        <t>Source: source_register.csv
Decision date: 20 August 2026
Context: Source register row SRC-186.</t>
      </text>
    </comment>
    <comment ref="I194" authorId="0" shapeId="0">
      <text>
        <t>Source: source_register.csv
Decision date: 20 August 2026
Context: Source register row SRC-186.</t>
      </text>
    </comment>
    <comment ref="C195" authorId="0" shapeId="0">
      <text>
        <t>Source: source_register.csv
Decision date: 20 August 2026
Context: Source register row SRC-187.</t>
      </text>
    </comment>
    <comment ref="D195" authorId="0" shapeId="0">
      <text>
        <t>Source: source_register.csv
Decision date: 20 August 2026
Context: Source register row SRC-187.</t>
      </text>
    </comment>
    <comment ref="E195" authorId="0" shapeId="0">
      <text>
        <t>Source: source_register.csv
Decision date: 20 August 2026
Context: Source register row SRC-187.</t>
      </text>
    </comment>
    <comment ref="F195" authorId="0" shapeId="0">
      <text>
        <t>Source: source_register.csv
Decision date: 20 August 2026
Context: Source register row SRC-187.</t>
      </text>
    </comment>
    <comment ref="G195" authorId="0" shapeId="0">
      <text>
        <t>Source: source_register.csv
Decision date: 20 August 2026
Context: Source register row SRC-187.</t>
      </text>
    </comment>
    <comment ref="H195" authorId="0" shapeId="0">
      <text>
        <t>Source: source_register.csv
Decision date: 20 August 2026
Context: Source register row SRC-187.</t>
      </text>
    </comment>
    <comment ref="I195" authorId="0" shapeId="0">
      <text>
        <t>Source: source_register.csv
Decision date: 20 August 2026
Context: Source register row SRC-187.</t>
      </text>
    </comment>
    <comment ref="C196" authorId="0" shapeId="0">
      <text>
        <t>Source: source_register.csv
Decision date: 20 August 2026
Context: Source register row SRC-188.</t>
      </text>
    </comment>
    <comment ref="D196" authorId="0" shapeId="0">
      <text>
        <t>Source: source_register.csv
Decision date: 20 August 2026
Context: Source register row SRC-188.</t>
      </text>
    </comment>
    <comment ref="E196" authorId="0" shapeId="0">
      <text>
        <t>Source: source_register.csv
Decision date: 20 August 2026
Context: Source register row SRC-188.</t>
      </text>
    </comment>
    <comment ref="F196" authorId="0" shapeId="0">
      <text>
        <t>Source: source_register.csv
Decision date: 20 August 2026
Context: Source register row SRC-188.</t>
      </text>
    </comment>
    <comment ref="G196" authorId="0" shapeId="0">
      <text>
        <t>Source: source_register.csv
Decision date: 20 August 2026
Context: Source register row SRC-188.</t>
      </text>
    </comment>
    <comment ref="H196" authorId="0" shapeId="0">
      <text>
        <t>Source: source_register.csv
Decision date: 20 August 2026
Context: Source register row SRC-188.</t>
      </text>
    </comment>
    <comment ref="I196" authorId="0" shapeId="0">
      <text>
        <t>Source: source_register.csv
Decision date: 20 August 2026
Context: Source register row SRC-188.</t>
      </text>
    </comment>
    <comment ref="C197" authorId="0" shapeId="0">
      <text>
        <t>Source: source_register.csv
Decision date: 20 August 2026
Context: Source register row SRC-189.</t>
      </text>
    </comment>
    <comment ref="D197" authorId="0" shapeId="0">
      <text>
        <t>Source: source_register.csv
Decision date: 20 August 2026
Context: Source register row SRC-189.</t>
      </text>
    </comment>
    <comment ref="E197" authorId="0" shapeId="0">
      <text>
        <t>Source: source_register.csv
Decision date: 20 August 2026
Context: Source register row SRC-189.</t>
      </text>
    </comment>
    <comment ref="F197" authorId="0" shapeId="0">
      <text>
        <t>Source: source_register.csv
Decision date: 20 August 2026
Context: Source register row SRC-189.</t>
      </text>
    </comment>
    <comment ref="G197" authorId="0" shapeId="0">
      <text>
        <t>Source: source_register.csv
Decision date: 20 August 2026
Context: Source register row SRC-189.</t>
      </text>
    </comment>
    <comment ref="H197" authorId="0" shapeId="0">
      <text>
        <t>Source: source_register.csv
Decision date: 20 August 2026
Context: Source register row SRC-189.</t>
      </text>
    </comment>
    <comment ref="I197" authorId="0" shapeId="0">
      <text>
        <t>Source: source_register.csv
Decision date: 20 August 2026
Context: Source register row SRC-189.</t>
      </text>
    </comment>
    <comment ref="C198" authorId="0" shapeId="0">
      <text>
        <t>Source: source_register.csv
Decision date: 20 August 2026
Context: Source register row SRC-190.</t>
      </text>
    </comment>
    <comment ref="D198" authorId="0" shapeId="0">
      <text>
        <t>Source: source_register.csv
Decision date: 20 August 2026
Context: Source register row SRC-190.</t>
      </text>
    </comment>
    <comment ref="E198" authorId="0" shapeId="0">
      <text>
        <t>Source: source_register.csv
Decision date: 20 August 2026
Context: Source register row SRC-190.</t>
      </text>
    </comment>
    <comment ref="F198" authorId="0" shapeId="0">
      <text>
        <t>Source: source_register.csv
Decision date: 20 August 2026
Context: Source register row SRC-190.</t>
      </text>
    </comment>
    <comment ref="G198" authorId="0" shapeId="0">
      <text>
        <t>Source: source_register.csv
Decision date: 20 August 2026
Context: Source register row SRC-190.</t>
      </text>
    </comment>
    <comment ref="H198" authorId="0" shapeId="0">
      <text>
        <t>Source: source_register.csv
Decision date: 20 August 2026
Context: Source register row SRC-190.</t>
      </text>
    </comment>
    <comment ref="I198" authorId="0" shapeId="0">
      <text>
        <t>Source: source_register.csv
Decision date: 20 August 2026
Context: Source register row SRC-190.</t>
      </text>
    </comment>
    <comment ref="C199" authorId="0" shapeId="0">
      <text>
        <t>Source: source_register.csv
Decision date: 20 August 2026
Context: Source register row SRC-191.</t>
      </text>
    </comment>
    <comment ref="D199" authorId="0" shapeId="0">
      <text>
        <t>Source: source_register.csv
Decision date: 20 August 2026
Context: Source register row SRC-191.</t>
      </text>
    </comment>
    <comment ref="E199" authorId="0" shapeId="0">
      <text>
        <t>Source: source_register.csv
Decision date: 20 August 2026
Context: Source register row SRC-191.</t>
      </text>
    </comment>
    <comment ref="F199" authorId="0" shapeId="0">
      <text>
        <t>Source: source_register.csv
Decision date: 20 August 2026
Context: Source register row SRC-191.</t>
      </text>
    </comment>
    <comment ref="G199" authorId="0" shapeId="0">
      <text>
        <t>Source: source_register.csv
Decision date: 20 August 2026
Context: Source register row SRC-191.</t>
      </text>
    </comment>
    <comment ref="H199" authorId="0" shapeId="0">
      <text>
        <t>Source: source_register.csv
Decision date: 20 August 2026
Context: Source register row SRC-191.</t>
      </text>
    </comment>
    <comment ref="I199" authorId="0" shapeId="0">
      <text>
        <t>Source: source_register.csv
Decision date: 20 August 2026
Context: Source register row SRC-191.</t>
      </text>
    </comment>
    <comment ref="C200" authorId="0" shapeId="0">
      <text>
        <t>Source: source_register.csv
Decision date: 20 August 2026
Context: Source register row SRC-192.</t>
      </text>
    </comment>
    <comment ref="D200" authorId="0" shapeId="0">
      <text>
        <t>Source: source_register.csv
Decision date: 20 August 2026
Context: Source register row SRC-192.</t>
      </text>
    </comment>
    <comment ref="E200" authorId="0" shapeId="0">
      <text>
        <t>Source: source_register.csv
Decision date: 20 August 2026
Context: Source register row SRC-192.</t>
      </text>
    </comment>
    <comment ref="F200" authorId="0" shapeId="0">
      <text>
        <t>Source: source_register.csv
Decision date: 20 August 2026
Context: Source register row SRC-192.</t>
      </text>
    </comment>
    <comment ref="G200" authorId="0" shapeId="0">
      <text>
        <t>Source: source_register.csv
Decision date: 20 August 2026
Context: Source register row SRC-192.</t>
      </text>
    </comment>
    <comment ref="H200" authorId="0" shapeId="0">
      <text>
        <t>Source: source_register.csv
Decision date: 20 August 2026
Context: Source register row SRC-192.</t>
      </text>
    </comment>
    <comment ref="I200" authorId="0" shapeId="0">
      <text>
        <t>Source: source_register.csv
Decision date: 20 August 2026
Context: Source register row SRC-192.</t>
      </text>
    </comment>
    <comment ref="C201" authorId="0" shapeId="0">
      <text>
        <t>Source: source_register.csv
Decision date: 20 August 2026
Context: Source register row SRC-193.</t>
      </text>
    </comment>
    <comment ref="D201" authorId="0" shapeId="0">
      <text>
        <t>Source: source_register.csv
Decision date: 20 August 2026
Context: Source register row SRC-193.</t>
      </text>
    </comment>
    <comment ref="E201" authorId="0" shapeId="0">
      <text>
        <t>Source: source_register.csv
Decision date: 20 August 2026
Context: Source register row SRC-193.</t>
      </text>
    </comment>
    <comment ref="F201" authorId="0" shapeId="0">
      <text>
        <t>Source: source_register.csv
Decision date: 20 August 2026
Context: Source register row SRC-193.</t>
      </text>
    </comment>
    <comment ref="G201" authorId="0" shapeId="0">
      <text>
        <t>Source: source_register.csv
Decision date: 20 August 2026
Context: Source register row SRC-193.</t>
      </text>
    </comment>
    <comment ref="H201" authorId="0" shapeId="0">
      <text>
        <t>Source: source_register.csv
Decision date: 20 August 2026
Context: Source register row SRC-193.</t>
      </text>
    </comment>
    <comment ref="I201" authorId="0" shapeId="0">
      <text>
        <t>Source: source_register.csv
Decision date: 20 August 2026
Context: Source register row SRC-193.</t>
      </text>
    </comment>
    <comment ref="C202" authorId="0" shapeId="0">
      <text>
        <t>Source: source_register.csv
Decision date: 20 August 2026
Context: Source register row SRC-194.</t>
      </text>
    </comment>
    <comment ref="D202" authorId="0" shapeId="0">
      <text>
        <t>Source: source_register.csv
Decision date: 20 August 2026
Context: Source register row SRC-194.</t>
      </text>
    </comment>
    <comment ref="E202" authorId="0" shapeId="0">
      <text>
        <t>Source: source_register.csv
Decision date: 20 August 2026
Context: Source register row SRC-194.</t>
      </text>
    </comment>
    <comment ref="F202" authorId="0" shapeId="0">
      <text>
        <t>Source: source_register.csv
Decision date: 20 August 2026
Context: Source register row SRC-194.</t>
      </text>
    </comment>
    <comment ref="G202" authorId="0" shapeId="0">
      <text>
        <t>Source: source_register.csv
Decision date: 20 August 2026
Context: Source register row SRC-194.</t>
      </text>
    </comment>
    <comment ref="H202" authorId="0" shapeId="0">
      <text>
        <t>Source: source_register.csv
Decision date: 20 August 2026
Context: Source register row SRC-194.</t>
      </text>
    </comment>
    <comment ref="I202" authorId="0" shapeId="0">
      <text>
        <t>Source: source_register.csv
Decision date: 20 August 2026
Context: Source register row SRC-194.</t>
      </text>
    </comment>
    <comment ref="C203" authorId="0" shapeId="0">
      <text>
        <t>Source: source_register.csv
Decision date: 20 August 2026
Context: Source register row SRC-195.</t>
      </text>
    </comment>
    <comment ref="D203" authorId="0" shapeId="0">
      <text>
        <t>Source: source_register.csv
Decision date: 20 August 2026
Context: Source register row SRC-195.</t>
      </text>
    </comment>
    <comment ref="E203" authorId="0" shapeId="0">
      <text>
        <t>Source: source_register.csv
Decision date: 20 August 2026
Context: Source register row SRC-195.</t>
      </text>
    </comment>
    <comment ref="F203" authorId="0" shapeId="0">
      <text>
        <t>Source: source_register.csv
Decision date: 20 August 2026
Context: Source register row SRC-195.</t>
      </text>
    </comment>
    <comment ref="G203" authorId="0" shapeId="0">
      <text>
        <t>Source: source_register.csv
Decision date: 20 August 2026
Context: Source register row SRC-195.</t>
      </text>
    </comment>
    <comment ref="H203" authorId="0" shapeId="0">
      <text>
        <t>Source: source_register.csv
Decision date: 20 August 2026
Context: Source register row SRC-195.</t>
      </text>
    </comment>
    <comment ref="I203" authorId="0" shapeId="0">
      <text>
        <t>Source: source_register.csv
Decision date: 20 August 2026
Context: Source register row SRC-195.</t>
      </text>
    </comment>
    <comment ref="C204" authorId="0" shapeId="0">
      <text>
        <t>Source: source_register.csv
Decision date: 20 August 2026
Context: Source register row SRC-196.</t>
      </text>
    </comment>
    <comment ref="D204" authorId="0" shapeId="0">
      <text>
        <t>Source: source_register.csv
Decision date: 20 August 2026
Context: Source register row SRC-196.</t>
      </text>
    </comment>
    <comment ref="E204" authorId="0" shapeId="0">
      <text>
        <t>Source: source_register.csv
Decision date: 20 August 2026
Context: Source register row SRC-196.</t>
      </text>
    </comment>
    <comment ref="F204" authorId="0" shapeId="0">
      <text>
        <t>Source: source_register.csv
Decision date: 20 August 2026
Context: Source register row SRC-196.</t>
      </text>
    </comment>
    <comment ref="G204" authorId="0" shapeId="0">
      <text>
        <t>Source: source_register.csv
Decision date: 20 August 2026
Context: Source register row SRC-196.</t>
      </text>
    </comment>
    <comment ref="H204" authorId="0" shapeId="0">
      <text>
        <t>Source: source_register.csv
Decision date: 20 August 2026
Context: Source register row SRC-196.</t>
      </text>
    </comment>
    <comment ref="I204" authorId="0" shapeId="0">
      <text>
        <t>Source: source_register.csv
Decision date: 20 August 2026
Context: Source register row SRC-196.</t>
      </text>
    </comment>
    <comment ref="C205" authorId="0" shapeId="0">
      <text>
        <t>Source: source_register.csv
Decision date: 20 August 2026
Context: Source register row SRC-197.</t>
      </text>
    </comment>
    <comment ref="D205" authorId="0" shapeId="0">
      <text>
        <t>Source: source_register.csv
Decision date: 20 August 2026
Context: Source register row SRC-197.</t>
      </text>
    </comment>
    <comment ref="E205" authorId="0" shapeId="0">
      <text>
        <t>Source: source_register.csv
Decision date: 20 August 2026
Context: Source register row SRC-197.</t>
      </text>
    </comment>
    <comment ref="F205" authorId="0" shapeId="0">
      <text>
        <t>Source: source_register.csv
Decision date: 20 August 2026
Context: Source register row SRC-197.</t>
      </text>
    </comment>
    <comment ref="G205" authorId="0" shapeId="0">
      <text>
        <t>Source: source_register.csv
Decision date: 20 August 2026
Context: Source register row SRC-197.</t>
      </text>
    </comment>
    <comment ref="H205" authorId="0" shapeId="0">
      <text>
        <t>Source: source_register.csv
Decision date: 20 August 2026
Context: Source register row SRC-197.</t>
      </text>
    </comment>
    <comment ref="I205" authorId="0" shapeId="0">
      <text>
        <t>Source: source_register.csv
Decision date: 20 August 2026
Context: Source register row SRC-197.</t>
      </text>
    </comment>
    <comment ref="C206" authorId="0" shapeId="0">
      <text>
        <t>Source: source_register.csv
Decision date: 20 August 2026
Context: Source register row SRC-198.</t>
      </text>
    </comment>
    <comment ref="D206" authorId="0" shapeId="0">
      <text>
        <t>Source: source_register.csv
Decision date: 20 August 2026
Context: Source register row SRC-198.</t>
      </text>
    </comment>
    <comment ref="E206" authorId="0" shapeId="0">
      <text>
        <t>Source: source_register.csv
Decision date: 20 August 2026
Context: Source register row SRC-198.</t>
      </text>
    </comment>
    <comment ref="F206" authorId="0" shapeId="0">
      <text>
        <t>Source: source_register.csv
Decision date: 20 August 2026
Context: Source register row SRC-198.</t>
      </text>
    </comment>
    <comment ref="G206" authorId="0" shapeId="0">
      <text>
        <t>Source: source_register.csv
Decision date: 20 August 2026
Context: Source register row SRC-198.</t>
      </text>
    </comment>
    <comment ref="H206" authorId="0" shapeId="0">
      <text>
        <t>Source: source_register.csv
Decision date: 20 August 2026
Context: Source register row SRC-198.</t>
      </text>
    </comment>
    <comment ref="I206" authorId="0" shapeId="0">
      <text>
        <t>Source: source_register.csv
Decision date: 20 August 2026
Context: Source register row SRC-198.</t>
      </text>
    </comment>
    <comment ref="C207" authorId="0" shapeId="0">
      <text>
        <t>Source: source_register.csv
Decision date: 20 August 2026
Context: Source register row SRC-199.</t>
      </text>
    </comment>
    <comment ref="D207" authorId="0" shapeId="0">
      <text>
        <t>Source: source_register.csv
Decision date: 20 August 2026
Context: Source register row SRC-199.</t>
      </text>
    </comment>
    <comment ref="E207" authorId="0" shapeId="0">
      <text>
        <t>Source: source_register.csv
Decision date: 20 August 2026
Context: Source register row SRC-199.</t>
      </text>
    </comment>
    <comment ref="F207" authorId="0" shapeId="0">
      <text>
        <t>Source: source_register.csv
Decision date: 20 August 2026
Context: Source register row SRC-199.</t>
      </text>
    </comment>
    <comment ref="G207" authorId="0" shapeId="0">
      <text>
        <t>Source: source_register.csv
Decision date: 20 August 2026
Context: Source register row SRC-199.</t>
      </text>
    </comment>
    <comment ref="H207" authorId="0" shapeId="0">
      <text>
        <t>Source: source_register.csv
Decision date: 20 August 2026
Context: Source register row SRC-199.</t>
      </text>
    </comment>
    <comment ref="I207" authorId="0" shapeId="0">
      <text>
        <t>Source: source_register.csv
Decision date: 20 August 2026
Context: Source register row SRC-199.</t>
      </text>
    </comment>
    <comment ref="C208" authorId="0" shapeId="0">
      <text>
        <t>Source: source_register.csv
Decision date: 20 August 2026
Context: Source register row SRC-200.</t>
      </text>
    </comment>
    <comment ref="D208" authorId="0" shapeId="0">
      <text>
        <t>Source: source_register.csv
Decision date: 20 August 2026
Context: Source register row SRC-200.</t>
      </text>
    </comment>
    <comment ref="E208" authorId="0" shapeId="0">
      <text>
        <t>Source: source_register.csv
Decision date: 20 August 2026
Context: Source register row SRC-200.</t>
      </text>
    </comment>
    <comment ref="F208" authorId="0" shapeId="0">
      <text>
        <t>Source: source_register.csv
Decision date: 20 August 2026
Context: Source register row SRC-200.</t>
      </text>
    </comment>
    <comment ref="G208" authorId="0" shapeId="0">
      <text>
        <t>Source: source_register.csv
Decision date: 20 August 2026
Context: Source register row SRC-200.</t>
      </text>
    </comment>
    <comment ref="H208" authorId="0" shapeId="0">
      <text>
        <t>Source: source_register.csv
Decision date: 20 August 2026
Context: Source register row SRC-200.</t>
      </text>
    </comment>
    <comment ref="I208" authorId="0" shapeId="0">
      <text>
        <t>Source: source_register.csv
Decision date: 20 August 2026
Context: Source register row SRC-200.</t>
      </text>
    </comment>
    <comment ref="C209" authorId="0" shapeId="0">
      <text>
        <t>Source: source_register.csv
Decision date: 20 August 2026
Context: Source register row SRC-201.</t>
      </text>
    </comment>
    <comment ref="D209" authorId="0" shapeId="0">
      <text>
        <t>Source: source_register.csv
Decision date: 20 August 2026
Context: Source register row SRC-201.</t>
      </text>
    </comment>
    <comment ref="E209" authorId="0" shapeId="0">
      <text>
        <t>Source: source_register.csv
Decision date: 20 August 2026
Context: Source register row SRC-201.</t>
      </text>
    </comment>
    <comment ref="F209" authorId="0" shapeId="0">
      <text>
        <t>Source: source_register.csv
Decision date: 20 August 2026
Context: Source register row SRC-201.</t>
      </text>
    </comment>
    <comment ref="G209" authorId="0" shapeId="0">
      <text>
        <t>Source: source_register.csv
Decision date: 20 August 2026
Context: Source register row SRC-201.</t>
      </text>
    </comment>
    <comment ref="H209" authorId="0" shapeId="0">
      <text>
        <t>Source: source_register.csv
Decision date: 20 August 2026
Context: Source register row SRC-201.</t>
      </text>
    </comment>
    <comment ref="I209" authorId="0" shapeId="0">
      <text>
        <t>Source: source_register.csv
Decision date: 20 August 2026
Context: Source register row SRC-201.</t>
      </text>
    </comment>
    <comment ref="C210" authorId="0" shapeId="0">
      <text>
        <t>Source: source_register.csv
Decision date: 20 August 2026
Context: Source register row SRC-202.</t>
      </text>
    </comment>
    <comment ref="D210" authorId="0" shapeId="0">
      <text>
        <t>Source: source_register.csv
Decision date: 20 August 2026
Context: Source register row SRC-202.</t>
      </text>
    </comment>
    <comment ref="E210" authorId="0" shapeId="0">
      <text>
        <t>Source: source_register.csv
Decision date: 20 August 2026
Context: Source register row SRC-202.</t>
      </text>
    </comment>
    <comment ref="F210" authorId="0" shapeId="0">
      <text>
        <t>Source: source_register.csv
Decision date: 20 August 2026
Context: Source register row SRC-202.</t>
      </text>
    </comment>
    <comment ref="G210" authorId="0" shapeId="0">
      <text>
        <t>Source: source_register.csv
Decision date: 20 August 2026
Context: Source register row SRC-202.</t>
      </text>
    </comment>
    <comment ref="H210" authorId="0" shapeId="0">
      <text>
        <t>Source: source_register.csv
Decision date: 20 August 2026
Context: Source register row SRC-202.</t>
      </text>
    </comment>
    <comment ref="I210" authorId="0" shapeId="0">
      <text>
        <t>Source: source_register.csv
Decision date: 20 August 2026
Context: Source register row SRC-202.</t>
      </text>
    </comment>
    <comment ref="C211" authorId="0" shapeId="0">
      <text>
        <t>Source: source_register.csv
Decision date: 20 August 2026
Context: Source register row SRC-203.</t>
      </text>
    </comment>
    <comment ref="D211" authorId="0" shapeId="0">
      <text>
        <t>Source: source_register.csv
Decision date: 20 August 2026
Context: Source register row SRC-203.</t>
      </text>
    </comment>
    <comment ref="E211" authorId="0" shapeId="0">
      <text>
        <t>Source: source_register.csv
Decision date: 20 August 2026
Context: Source register row SRC-203.</t>
      </text>
    </comment>
    <comment ref="F211" authorId="0" shapeId="0">
      <text>
        <t>Source: source_register.csv
Decision date: 20 August 2026
Context: Source register row SRC-203.</t>
      </text>
    </comment>
    <comment ref="G211" authorId="0" shapeId="0">
      <text>
        <t>Source: source_register.csv
Decision date: 20 August 2026
Context: Source register row SRC-203.</t>
      </text>
    </comment>
    <comment ref="H211" authorId="0" shapeId="0">
      <text>
        <t>Source: source_register.csv
Decision date: 20 August 2026
Context: Source register row SRC-203.</t>
      </text>
    </comment>
    <comment ref="I211" authorId="0" shapeId="0">
      <text>
        <t>Source: source_register.csv
Decision date: 20 August 2026
Context: Source register row SRC-203.</t>
      </text>
    </comment>
    <comment ref="C212" authorId="0" shapeId="0">
      <text>
        <t>Source: source_register.csv
Decision date: 20 August 2026
Context: Source register row SRC-204.</t>
      </text>
    </comment>
    <comment ref="D212" authorId="0" shapeId="0">
      <text>
        <t>Source: source_register.csv
Decision date: 20 August 2026
Context: Source register row SRC-204.</t>
      </text>
    </comment>
    <comment ref="E212" authorId="0" shapeId="0">
      <text>
        <t>Source: source_register.csv
Decision date: 20 August 2026
Context: Source register row SRC-204.</t>
      </text>
    </comment>
    <comment ref="F212" authorId="0" shapeId="0">
      <text>
        <t>Source: source_register.csv
Decision date: 20 August 2026
Context: Source register row SRC-204.</t>
      </text>
    </comment>
    <comment ref="G212" authorId="0" shapeId="0">
      <text>
        <t>Source: source_register.csv
Decision date: 20 August 2026
Context: Source register row SRC-204.</t>
      </text>
    </comment>
    <comment ref="H212" authorId="0" shapeId="0">
      <text>
        <t>Source: source_register.csv
Decision date: 20 August 2026
Context: Source register row SRC-204.</t>
      </text>
    </comment>
    <comment ref="I212" authorId="0" shapeId="0">
      <text>
        <t>Source: source_register.csv
Decision date: 20 August 2026
Context: Source register row SRC-204.</t>
      </text>
    </comment>
    <comment ref="C213" authorId="0" shapeId="0">
      <text>
        <t>Source: source_register.csv
Decision date: 20 August 2026
Context: Source register row SRC-205.</t>
      </text>
    </comment>
    <comment ref="D213" authorId="0" shapeId="0">
      <text>
        <t>Source: source_register.csv
Decision date: 20 August 2026
Context: Source register row SRC-205.</t>
      </text>
    </comment>
    <comment ref="E213" authorId="0" shapeId="0">
      <text>
        <t>Source: source_register.csv
Decision date: 20 August 2026
Context: Source register row SRC-205.</t>
      </text>
    </comment>
    <comment ref="F213" authorId="0" shapeId="0">
      <text>
        <t>Source: source_register.csv
Decision date: 20 August 2026
Context: Source register row SRC-205.</t>
      </text>
    </comment>
    <comment ref="G213" authorId="0" shapeId="0">
      <text>
        <t>Source: source_register.csv
Decision date: 20 August 2026
Context: Source register row SRC-205.</t>
      </text>
    </comment>
    <comment ref="H213" authorId="0" shapeId="0">
      <text>
        <t>Source: source_register.csv
Decision date: 20 August 2026
Context: Source register row SRC-205.</t>
      </text>
    </comment>
    <comment ref="I213" authorId="0" shapeId="0">
      <text>
        <t>Source: source_register.csv
Decision date: 20 August 2026
Context: Source register row SRC-205.</t>
      </text>
    </comment>
    <comment ref="C214" authorId="0" shapeId="0">
      <text>
        <t>Source: source_register.csv
Decision date: 20 August 2026
Context: Source register row SRC-206.</t>
      </text>
    </comment>
    <comment ref="D214" authorId="0" shapeId="0">
      <text>
        <t>Source: source_register.csv
Decision date: 20 August 2026
Context: Source register row SRC-206.</t>
      </text>
    </comment>
    <comment ref="E214" authorId="0" shapeId="0">
      <text>
        <t>Source: source_register.csv
Decision date: 20 August 2026
Context: Source register row SRC-206.</t>
      </text>
    </comment>
    <comment ref="F214" authorId="0" shapeId="0">
      <text>
        <t>Source: source_register.csv
Decision date: 20 August 2026
Context: Source register row SRC-206.</t>
      </text>
    </comment>
    <comment ref="G214" authorId="0" shapeId="0">
      <text>
        <t>Source: source_register.csv
Decision date: 20 August 2026
Context: Source register row SRC-206.</t>
      </text>
    </comment>
    <comment ref="H214" authorId="0" shapeId="0">
      <text>
        <t>Source: source_register.csv
Decision date: 20 August 2026
Context: Source register row SRC-206.</t>
      </text>
    </comment>
    <comment ref="I214" authorId="0" shapeId="0">
      <text>
        <t>Source: source_register.csv
Decision date: 20 August 2026
Context: Source register row SRC-206.</t>
      </text>
    </comment>
    <comment ref="C215" authorId="0" shapeId="0">
      <text>
        <t>Source: source_register.csv
Decision date: 20 August 2026
Context: Source register row SRC-207.</t>
      </text>
    </comment>
    <comment ref="D215" authorId="0" shapeId="0">
      <text>
        <t>Source: source_register.csv
Decision date: 20 August 2026
Context: Source register row SRC-207.</t>
      </text>
    </comment>
    <comment ref="E215" authorId="0" shapeId="0">
      <text>
        <t>Source: source_register.csv
Decision date: 20 August 2026
Context: Source register row SRC-207.</t>
      </text>
    </comment>
    <comment ref="F215" authorId="0" shapeId="0">
      <text>
        <t>Source: source_register.csv
Decision date: 20 August 2026
Context: Source register row SRC-207.</t>
      </text>
    </comment>
    <comment ref="G215" authorId="0" shapeId="0">
      <text>
        <t>Source: source_register.csv
Decision date: 20 August 2026
Context: Source register row SRC-207.</t>
      </text>
    </comment>
    <comment ref="H215" authorId="0" shapeId="0">
      <text>
        <t>Source: source_register.csv
Decision date: 20 August 2026
Context: Source register row SRC-207.</t>
      </text>
    </comment>
    <comment ref="I215" authorId="0" shapeId="0">
      <text>
        <t>Source: source_register.csv
Decision date: 20 August 2026
Context: Source register row SRC-207.</t>
      </text>
    </comment>
    <comment ref="C216" authorId="0" shapeId="0">
      <text>
        <t>Source: source_register.csv
Decision date: 20 August 2026
Context: Source register row SRC-208.</t>
      </text>
    </comment>
    <comment ref="D216" authorId="0" shapeId="0">
      <text>
        <t>Source: source_register.csv
Decision date: 20 August 2026
Context: Source register row SRC-208.</t>
      </text>
    </comment>
    <comment ref="E216" authorId="0" shapeId="0">
      <text>
        <t>Source: source_register.csv
Decision date: 20 August 2026
Context: Source register row SRC-208.</t>
      </text>
    </comment>
    <comment ref="F216" authorId="0" shapeId="0">
      <text>
        <t>Source: source_register.csv
Decision date: 20 August 2026
Context: Source register row SRC-208.</t>
      </text>
    </comment>
    <comment ref="G216" authorId="0" shapeId="0">
      <text>
        <t>Source: source_register.csv
Decision date: 20 August 2026
Context: Source register row SRC-208.</t>
      </text>
    </comment>
    <comment ref="H216" authorId="0" shapeId="0">
      <text>
        <t>Source: source_register.csv
Decision date: 20 August 2026
Context: Source register row SRC-208.</t>
      </text>
    </comment>
    <comment ref="I216" authorId="0" shapeId="0">
      <text>
        <t>Source: source_register.csv
Decision date: 20 August 2026
Context: Source register row SRC-208.</t>
      </text>
    </comment>
    <comment ref="C217" authorId="0" shapeId="0">
      <text>
        <t>Source: source_register.csv
Decision date: 20 August 2026
Context: Source register row SRC-209.</t>
      </text>
    </comment>
    <comment ref="D217" authorId="0" shapeId="0">
      <text>
        <t>Source: source_register.csv
Decision date: 20 August 2026
Context: Source register row SRC-209.</t>
      </text>
    </comment>
    <comment ref="E217" authorId="0" shapeId="0">
      <text>
        <t>Source: source_register.csv
Decision date: 20 August 2026
Context: Source register row SRC-209.</t>
      </text>
    </comment>
    <comment ref="F217" authorId="0" shapeId="0">
      <text>
        <t>Source: source_register.csv
Decision date: 20 August 2026
Context: Source register row SRC-209.</t>
      </text>
    </comment>
    <comment ref="G217" authorId="0" shapeId="0">
      <text>
        <t>Source: source_register.csv
Decision date: 20 August 2026
Context: Source register row SRC-209.</t>
      </text>
    </comment>
    <comment ref="H217" authorId="0" shapeId="0">
      <text>
        <t>Source: source_register.csv
Decision date: 20 August 2026
Context: Source register row SRC-209.</t>
      </text>
    </comment>
    <comment ref="I217" authorId="0" shapeId="0">
      <text>
        <t>Source: source_register.csv
Decision date: 20 August 2026
Context: Source register row SRC-209.</t>
      </text>
    </comment>
    <comment ref="C218" authorId="0" shapeId="0">
      <text>
        <t>Source: source_register.csv
Decision date: 20 August 2026
Context: Source register row SRC-210.</t>
      </text>
    </comment>
    <comment ref="D218" authorId="0" shapeId="0">
      <text>
        <t>Source: source_register.csv
Decision date: 20 August 2026
Context: Source register row SRC-210.</t>
      </text>
    </comment>
    <comment ref="E218" authorId="0" shapeId="0">
      <text>
        <t>Source: source_register.csv
Decision date: 20 August 2026
Context: Source register row SRC-210.</t>
      </text>
    </comment>
    <comment ref="F218" authorId="0" shapeId="0">
      <text>
        <t>Source: source_register.csv
Decision date: 20 August 2026
Context: Source register row SRC-210.</t>
      </text>
    </comment>
    <comment ref="G218" authorId="0" shapeId="0">
      <text>
        <t>Source: source_register.csv
Decision date: 20 August 2026
Context: Source register row SRC-210.</t>
      </text>
    </comment>
    <comment ref="H218" authorId="0" shapeId="0">
      <text>
        <t>Source: source_register.csv
Decision date: 20 August 2026
Context: Source register row SRC-210.</t>
      </text>
    </comment>
    <comment ref="I218" authorId="0" shapeId="0">
      <text>
        <t>Source: source_register.csv
Decision date: 20 August 2026
Context: Source register row SRC-210.</t>
      </text>
    </comment>
    <comment ref="C219" authorId="0" shapeId="0">
      <text>
        <t>Source: source_register.csv
Decision date: 20 August 2026
Context: Source register row SRC-211.</t>
      </text>
    </comment>
    <comment ref="D219" authorId="0" shapeId="0">
      <text>
        <t>Source: source_register.csv
Decision date: 20 August 2026
Context: Source register row SRC-211.</t>
      </text>
    </comment>
    <comment ref="E219" authorId="0" shapeId="0">
      <text>
        <t>Source: source_register.csv
Decision date: 20 August 2026
Context: Source register row SRC-211.</t>
      </text>
    </comment>
    <comment ref="F219" authorId="0" shapeId="0">
      <text>
        <t>Source: source_register.csv
Decision date: 20 August 2026
Context: Source register row SRC-211.</t>
      </text>
    </comment>
    <comment ref="G219" authorId="0" shapeId="0">
      <text>
        <t>Source: source_register.csv
Decision date: 20 August 2026
Context: Source register row SRC-211.</t>
      </text>
    </comment>
    <comment ref="H219" authorId="0" shapeId="0">
      <text>
        <t>Source: source_register.csv
Decision date: 20 August 2026
Context: Source register row SRC-211.</t>
      </text>
    </comment>
    <comment ref="I219" authorId="0" shapeId="0">
      <text>
        <t>Source: source_register.csv
Decision date: 20 August 2026
Context: Source register row SRC-211.</t>
      </text>
    </comment>
    <comment ref="C220" authorId="0" shapeId="0">
      <text>
        <t>Source: source_register.csv
Decision date: 20 August 2026
Context: Source register row SRC-212.</t>
      </text>
    </comment>
    <comment ref="D220" authorId="0" shapeId="0">
      <text>
        <t>Source: source_register.csv
Decision date: 20 August 2026
Context: Source register row SRC-212.</t>
      </text>
    </comment>
    <comment ref="E220" authorId="0" shapeId="0">
      <text>
        <t>Source: source_register.csv
Decision date: 20 August 2026
Context: Source register row SRC-212.</t>
      </text>
    </comment>
    <comment ref="F220" authorId="0" shapeId="0">
      <text>
        <t>Source: source_register.csv
Decision date: 20 August 2026
Context: Source register row SRC-212.</t>
      </text>
    </comment>
    <comment ref="G220" authorId="0" shapeId="0">
      <text>
        <t>Source: source_register.csv
Decision date: 20 August 2026
Context: Source register row SRC-212.</t>
      </text>
    </comment>
    <comment ref="H220" authorId="0" shapeId="0">
      <text>
        <t>Source: source_register.csv
Decision date: 20 August 2026
Context: Source register row SRC-212.</t>
      </text>
    </comment>
    <comment ref="I220" authorId="0" shapeId="0">
      <text>
        <t>Source: source_register.csv
Decision date: 20 August 2026
Context: Source register row SRC-212.</t>
      </text>
    </comment>
    <comment ref="C221" authorId="0" shapeId="0">
      <text>
        <t>Source: source_register.csv
Decision date: 20 August 2026
Context: Source register row SRC-213.</t>
      </text>
    </comment>
    <comment ref="D221" authorId="0" shapeId="0">
      <text>
        <t>Source: source_register.csv
Decision date: 20 August 2026
Context: Source register row SRC-213.</t>
      </text>
    </comment>
    <comment ref="E221" authorId="0" shapeId="0">
      <text>
        <t>Source: source_register.csv
Decision date: 20 August 2026
Context: Source register row SRC-213.</t>
      </text>
    </comment>
    <comment ref="F221" authorId="0" shapeId="0">
      <text>
        <t>Source: source_register.csv
Decision date: 20 August 2026
Context: Source register row SRC-213.</t>
      </text>
    </comment>
    <comment ref="G221" authorId="0" shapeId="0">
      <text>
        <t>Source: source_register.csv
Decision date: 20 August 2026
Context: Source register row SRC-213.</t>
      </text>
    </comment>
    <comment ref="H221" authorId="0" shapeId="0">
      <text>
        <t>Source: source_register.csv
Decision date: 20 August 2026
Context: Source register row SRC-213.</t>
      </text>
    </comment>
    <comment ref="I221" authorId="0" shapeId="0">
      <text>
        <t>Source: source_register.csv
Decision date: 20 August 2026
Context: Source register row SRC-213.</t>
      </text>
    </comment>
    <comment ref="C222" authorId="0" shapeId="0">
      <text>
        <t>Source: source_register.csv
Decision date: 20 August 2026
Context: Source register row SRC-214.</t>
      </text>
    </comment>
    <comment ref="D222" authorId="0" shapeId="0">
      <text>
        <t>Source: source_register.csv
Decision date: 20 August 2026
Context: Source register row SRC-214.</t>
      </text>
    </comment>
    <comment ref="E222" authorId="0" shapeId="0">
      <text>
        <t>Source: source_register.csv
Decision date: 20 August 2026
Context: Source register row SRC-214.</t>
      </text>
    </comment>
    <comment ref="F222" authorId="0" shapeId="0">
      <text>
        <t>Source: source_register.csv
Decision date: 20 August 2026
Context: Source register row SRC-214.</t>
      </text>
    </comment>
    <comment ref="G222" authorId="0" shapeId="0">
      <text>
        <t>Source: source_register.csv
Decision date: 20 August 2026
Context: Source register row SRC-214.</t>
      </text>
    </comment>
    <comment ref="H222" authorId="0" shapeId="0">
      <text>
        <t>Source: source_register.csv
Decision date: 20 August 2026
Context: Source register row SRC-214.</t>
      </text>
    </comment>
    <comment ref="I222" authorId="0" shapeId="0">
      <text>
        <t>Source: source_register.csv
Decision date: 20 August 2026
Context: Source register row SRC-214.</t>
      </text>
    </comment>
    <comment ref="C223" authorId="0" shapeId="0">
      <text>
        <t>Source: source_register.csv
Decision date: 20 August 2026
Context: Source register row SRC-215.</t>
      </text>
    </comment>
    <comment ref="D223" authorId="0" shapeId="0">
      <text>
        <t>Source: source_register.csv
Decision date: 20 August 2026
Context: Source register row SRC-215.</t>
      </text>
    </comment>
    <comment ref="E223" authorId="0" shapeId="0">
      <text>
        <t>Source: source_register.csv
Decision date: 20 August 2026
Context: Source register row SRC-215.</t>
      </text>
    </comment>
    <comment ref="F223" authorId="0" shapeId="0">
      <text>
        <t>Source: source_register.csv
Decision date: 20 August 2026
Context: Source register row SRC-215.</t>
      </text>
    </comment>
    <comment ref="G223" authorId="0" shapeId="0">
      <text>
        <t>Source: source_register.csv
Decision date: 20 August 2026
Context: Source register row SRC-215.</t>
      </text>
    </comment>
    <comment ref="H223" authorId="0" shapeId="0">
      <text>
        <t>Source: source_register.csv
Decision date: 20 August 2026
Context: Source register row SRC-215.</t>
      </text>
    </comment>
    <comment ref="I223" authorId="0" shapeId="0">
      <text>
        <t>Source: source_register.csv
Decision date: 20 August 2026
Context: Source register row SRC-215.</t>
      </text>
    </comment>
    <comment ref="C224" authorId="0" shapeId="0">
      <text>
        <t>Source: source_register.csv
Decision date: 20 August 2026
Context: Source register row SRC-216.</t>
      </text>
    </comment>
    <comment ref="D224" authorId="0" shapeId="0">
      <text>
        <t>Source: source_register.csv
Decision date: 20 August 2026
Context: Source register row SRC-216.</t>
      </text>
    </comment>
    <comment ref="E224" authorId="0" shapeId="0">
      <text>
        <t>Source: source_register.csv
Decision date: 20 August 2026
Context: Source register row SRC-216.</t>
      </text>
    </comment>
    <comment ref="F224" authorId="0" shapeId="0">
      <text>
        <t>Source: source_register.csv
Decision date: 20 August 2026
Context: Source register row SRC-216.</t>
      </text>
    </comment>
    <comment ref="G224" authorId="0" shapeId="0">
      <text>
        <t>Source: source_register.csv
Decision date: 20 August 2026
Context: Source register row SRC-216.</t>
      </text>
    </comment>
    <comment ref="H224" authorId="0" shapeId="0">
      <text>
        <t>Source: source_register.csv
Decision date: 20 August 2026
Context: Source register row SRC-216.</t>
      </text>
    </comment>
    <comment ref="I224" authorId="0" shapeId="0">
      <text>
        <t>Source: source_register.csv
Decision date: 20 August 2026
Context: Source register row SRC-216.</t>
      </text>
    </comment>
    <comment ref="C225" authorId="0" shapeId="0">
      <text>
        <t>Source: source_register.csv
Decision date: 20 August 2026
Context: Source register row SRC-217.</t>
      </text>
    </comment>
    <comment ref="D225" authorId="0" shapeId="0">
      <text>
        <t>Source: source_register.csv
Decision date: 20 August 2026
Context: Source register row SRC-217.</t>
      </text>
    </comment>
    <comment ref="E225" authorId="0" shapeId="0">
      <text>
        <t>Source: source_register.csv
Decision date: 20 August 2026
Context: Source register row SRC-217.</t>
      </text>
    </comment>
    <comment ref="F225" authorId="0" shapeId="0">
      <text>
        <t>Source: source_register.csv
Decision date: 20 August 2026
Context: Source register row SRC-217.</t>
      </text>
    </comment>
    <comment ref="G225" authorId="0" shapeId="0">
      <text>
        <t>Source: source_register.csv
Decision date: 20 August 2026
Context: Source register row SRC-217.</t>
      </text>
    </comment>
    <comment ref="H225" authorId="0" shapeId="0">
      <text>
        <t>Source: source_register.csv
Decision date: 20 August 2026
Context: Source register row SRC-217.</t>
      </text>
    </comment>
    <comment ref="I225" authorId="0" shapeId="0">
      <text>
        <t>Source: source_register.csv
Decision date: 20 August 2026
Context: Source register row SRC-217.</t>
      </text>
    </comment>
    <comment ref="C226" authorId="0" shapeId="0">
      <text>
        <t>Source: source_register.csv
Decision date: 20 August 2026
Context: Source register row SRC-218.</t>
      </text>
    </comment>
    <comment ref="D226" authorId="0" shapeId="0">
      <text>
        <t>Source: source_register.csv
Decision date: 20 August 2026
Context: Source register row SRC-218.</t>
      </text>
    </comment>
    <comment ref="E226" authorId="0" shapeId="0">
      <text>
        <t>Source: source_register.csv
Decision date: 20 August 2026
Context: Source register row SRC-218.</t>
      </text>
    </comment>
    <comment ref="F226" authorId="0" shapeId="0">
      <text>
        <t>Source: source_register.csv
Decision date: 20 August 2026
Context: Source register row SRC-218.</t>
      </text>
    </comment>
    <comment ref="G226" authorId="0" shapeId="0">
      <text>
        <t>Source: source_register.csv
Decision date: 20 August 2026
Context: Source register row SRC-218.</t>
      </text>
    </comment>
    <comment ref="H226" authorId="0" shapeId="0">
      <text>
        <t>Source: source_register.csv
Decision date: 20 August 2026
Context: Source register row SRC-218.</t>
      </text>
    </comment>
    <comment ref="I226" authorId="0" shapeId="0">
      <text>
        <t>Source: source_register.csv
Decision date: 20 August 2026
Context: Source register row SRC-218.</t>
      </text>
    </comment>
    <comment ref="C227" authorId="0" shapeId="0">
      <text>
        <t>Source: source_register.csv
Decision date: 20 August 2026
Context: Source register row SRC-219.</t>
      </text>
    </comment>
    <comment ref="D227" authorId="0" shapeId="0">
      <text>
        <t>Source: source_register.csv
Decision date: 20 August 2026
Context: Source register row SRC-219.</t>
      </text>
    </comment>
    <comment ref="E227" authorId="0" shapeId="0">
      <text>
        <t>Source: source_register.csv
Decision date: 20 August 2026
Context: Source register row SRC-219.</t>
      </text>
    </comment>
    <comment ref="F227" authorId="0" shapeId="0">
      <text>
        <t>Source: source_register.csv
Decision date: 20 August 2026
Context: Source register row SRC-219.</t>
      </text>
    </comment>
    <comment ref="G227" authorId="0" shapeId="0">
      <text>
        <t>Source: source_register.csv
Decision date: 20 August 2026
Context: Source register row SRC-219.</t>
      </text>
    </comment>
    <comment ref="H227" authorId="0" shapeId="0">
      <text>
        <t>Source: source_register.csv
Decision date: 20 August 2026
Context: Source register row SRC-219.</t>
      </text>
    </comment>
    <comment ref="I227" authorId="0" shapeId="0">
      <text>
        <t>Source: source_register.csv
Decision date: 20 August 2026
Context: Source register row SRC-219.</t>
      </text>
    </comment>
    <comment ref="C228" authorId="0" shapeId="0">
      <text>
        <t>Source: source_register.csv
Decision date: 20 August 2026
Context: Source register row SRC-220.</t>
      </text>
    </comment>
    <comment ref="D228" authorId="0" shapeId="0">
      <text>
        <t>Source: source_register.csv
Decision date: 20 August 2026
Context: Source register row SRC-220.</t>
      </text>
    </comment>
    <comment ref="E228" authorId="0" shapeId="0">
      <text>
        <t>Source: source_register.csv
Decision date: 20 August 2026
Context: Source register row SRC-220.</t>
      </text>
    </comment>
    <comment ref="F228" authorId="0" shapeId="0">
      <text>
        <t>Source: source_register.csv
Decision date: 20 August 2026
Context: Source register row SRC-220.</t>
      </text>
    </comment>
    <comment ref="G228" authorId="0" shapeId="0">
      <text>
        <t>Source: source_register.csv
Decision date: 20 August 2026
Context: Source register row SRC-220.</t>
      </text>
    </comment>
    <comment ref="H228" authorId="0" shapeId="0">
      <text>
        <t>Source: source_register.csv
Decision date: 20 August 2026
Context: Source register row SRC-220.</t>
      </text>
    </comment>
    <comment ref="I228" authorId="0" shapeId="0">
      <text>
        <t>Source: source_register.csv
Decision date: 20 August 2026
Context: Source register row SRC-220.</t>
      </text>
    </comment>
    <comment ref="C229" authorId="0" shapeId="0">
      <text>
        <t>Source: source_register.csv
Decision date: 20 August 2026
Context: Source register row SRC-221.</t>
      </text>
    </comment>
    <comment ref="D229" authorId="0" shapeId="0">
      <text>
        <t>Source: source_register.csv
Decision date: 20 August 2026
Context: Source register row SRC-221.</t>
      </text>
    </comment>
    <comment ref="E229" authorId="0" shapeId="0">
      <text>
        <t>Source: source_register.csv
Decision date: 20 August 2026
Context: Source register row SRC-221.</t>
      </text>
    </comment>
    <comment ref="F229" authorId="0" shapeId="0">
      <text>
        <t>Source: source_register.csv
Decision date: 20 August 2026
Context: Source register row SRC-221.</t>
      </text>
    </comment>
    <comment ref="G229" authorId="0" shapeId="0">
      <text>
        <t>Source: source_register.csv
Decision date: 20 August 2026
Context: Source register row SRC-221.</t>
      </text>
    </comment>
    <comment ref="H229" authorId="0" shapeId="0">
      <text>
        <t>Source: source_register.csv
Decision date: 20 August 2026
Context: Source register row SRC-221.</t>
      </text>
    </comment>
    <comment ref="I229" authorId="0" shapeId="0">
      <text>
        <t>Source: source_register.csv
Decision date: 20 August 2026
Context: Source register row SRC-221.</t>
      </text>
    </comment>
    <comment ref="C230" authorId="0" shapeId="0">
      <text>
        <t>Source: source_register.csv
Decision date: 20 August 2026
Context: Source register row SRC-222.</t>
      </text>
    </comment>
    <comment ref="D230" authorId="0" shapeId="0">
      <text>
        <t>Source: source_register.csv
Decision date: 20 August 2026
Context: Source register row SRC-222.</t>
      </text>
    </comment>
    <comment ref="E230" authorId="0" shapeId="0">
      <text>
        <t>Source: source_register.csv
Decision date: 20 August 2026
Context: Source register row SRC-222.</t>
      </text>
    </comment>
    <comment ref="F230" authorId="0" shapeId="0">
      <text>
        <t>Source: source_register.csv
Decision date: 20 August 2026
Context: Source register row SRC-222.</t>
      </text>
    </comment>
    <comment ref="G230" authorId="0" shapeId="0">
      <text>
        <t>Source: source_register.csv
Decision date: 20 August 2026
Context: Source register row SRC-222.</t>
      </text>
    </comment>
    <comment ref="H230" authorId="0" shapeId="0">
      <text>
        <t>Source: source_register.csv
Decision date: 20 August 2026
Context: Source register row SRC-222.</t>
      </text>
    </comment>
    <comment ref="I230" authorId="0" shapeId="0">
      <text>
        <t>Source: source_register.csv
Decision date: 20 August 2026
Context: Source register row SRC-222.</t>
      </text>
    </comment>
    <comment ref="C231" authorId="0" shapeId="0">
      <text>
        <t>Source: source_register.csv
Decision date: 20 August 2026
Context: Source register row SRC-223.</t>
      </text>
    </comment>
    <comment ref="D231" authorId="0" shapeId="0">
      <text>
        <t>Source: source_register.csv
Decision date: 20 August 2026
Context: Source register row SRC-223.</t>
      </text>
    </comment>
    <comment ref="E231" authorId="0" shapeId="0">
      <text>
        <t>Source: source_register.csv
Decision date: 20 August 2026
Context: Source register row SRC-223.</t>
      </text>
    </comment>
    <comment ref="F231" authorId="0" shapeId="0">
      <text>
        <t>Source: source_register.csv
Decision date: 20 August 2026
Context: Source register row SRC-223.</t>
      </text>
    </comment>
    <comment ref="G231" authorId="0" shapeId="0">
      <text>
        <t>Source: source_register.csv
Decision date: 20 August 2026
Context: Source register row SRC-223.</t>
      </text>
    </comment>
    <comment ref="H231" authorId="0" shapeId="0">
      <text>
        <t>Source: source_register.csv
Decision date: 20 August 2026
Context: Source register row SRC-223.</t>
      </text>
    </comment>
    <comment ref="I231" authorId="0" shapeId="0">
      <text>
        <t>Source: source_register.csv
Decision date: 20 August 2026
Context: Source register row SRC-223.</t>
      </text>
    </comment>
    <comment ref="C232" authorId="0" shapeId="0">
      <text>
        <t>Source: source_register.csv
Decision date: 20 August 2026
Context: Source register row SRC-224.</t>
      </text>
    </comment>
    <comment ref="D232" authorId="0" shapeId="0">
      <text>
        <t>Source: source_register.csv
Decision date: 20 August 2026
Context: Source register row SRC-224.</t>
      </text>
    </comment>
    <comment ref="E232" authorId="0" shapeId="0">
      <text>
        <t>Source: source_register.csv
Decision date: 20 August 2026
Context: Source register row SRC-224.</t>
      </text>
    </comment>
    <comment ref="F232" authorId="0" shapeId="0">
      <text>
        <t>Source: source_register.csv
Decision date: 20 August 2026
Context: Source register row SRC-224.</t>
      </text>
    </comment>
    <comment ref="G232" authorId="0" shapeId="0">
      <text>
        <t>Source: source_register.csv
Decision date: 20 August 2026
Context: Source register row SRC-224.</t>
      </text>
    </comment>
    <comment ref="H232" authorId="0" shapeId="0">
      <text>
        <t>Source: source_register.csv
Decision date: 20 August 2026
Context: Source register row SRC-224.</t>
      </text>
    </comment>
    <comment ref="I232" authorId="0" shapeId="0">
      <text>
        <t>Source: source_register.csv
Decision date: 20 August 2026
Context: Source register row SRC-224.</t>
      </text>
    </comment>
    <comment ref="C233" authorId="0" shapeId="0">
      <text>
        <t>Source: source_register.csv
Decision date: 20 August 2026
Context: Source register row SRC-225.</t>
      </text>
    </comment>
    <comment ref="D233" authorId="0" shapeId="0">
      <text>
        <t>Source: source_register.csv
Decision date: 20 August 2026
Context: Source register row SRC-225.</t>
      </text>
    </comment>
    <comment ref="E233" authorId="0" shapeId="0">
      <text>
        <t>Source: source_register.csv
Decision date: 20 August 2026
Context: Source register row SRC-225.</t>
      </text>
    </comment>
    <comment ref="F233" authorId="0" shapeId="0">
      <text>
        <t>Source: source_register.csv
Decision date: 20 August 2026
Context: Source register row SRC-225.</t>
      </text>
    </comment>
    <comment ref="G233" authorId="0" shapeId="0">
      <text>
        <t>Source: source_register.csv
Decision date: 20 August 2026
Context: Source register row SRC-225.</t>
      </text>
    </comment>
    <comment ref="H233" authorId="0" shapeId="0">
      <text>
        <t>Source: source_register.csv
Decision date: 20 August 2026
Context: Source register row SRC-225.</t>
      </text>
    </comment>
    <comment ref="I233" authorId="0" shapeId="0">
      <text>
        <t>Source: source_register.csv
Decision date: 20 August 2026
Context: Source register row SRC-225.</t>
      </text>
    </comment>
    <comment ref="C234" authorId="0" shapeId="0">
      <text>
        <t>Source: source_register.csv
Decision date: 20 August 2026
Context: Source register row SRC-226.</t>
      </text>
    </comment>
    <comment ref="D234" authorId="0" shapeId="0">
      <text>
        <t>Source: source_register.csv
Decision date: 20 August 2026
Context: Source register row SRC-226.</t>
      </text>
    </comment>
    <comment ref="E234" authorId="0" shapeId="0">
      <text>
        <t>Source: source_register.csv
Decision date: 20 August 2026
Context: Source register row SRC-226.</t>
      </text>
    </comment>
    <comment ref="F234" authorId="0" shapeId="0">
      <text>
        <t>Source: source_register.csv
Decision date: 20 August 2026
Context: Source register row SRC-226.</t>
      </text>
    </comment>
    <comment ref="G234" authorId="0" shapeId="0">
      <text>
        <t>Source: source_register.csv
Decision date: 20 August 2026
Context: Source register row SRC-226.</t>
      </text>
    </comment>
    <comment ref="H234" authorId="0" shapeId="0">
      <text>
        <t>Source: source_register.csv
Decision date: 20 August 2026
Context: Source register row SRC-226.</t>
      </text>
    </comment>
    <comment ref="I234" authorId="0" shapeId="0">
      <text>
        <t>Source: source_register.csv
Decision date: 20 August 2026
Context: Source register row SRC-226.</t>
      </text>
    </comment>
    <comment ref="C235" authorId="0" shapeId="0">
      <text>
        <t>Source: source_register.csv
Decision date: 20 August 2026
Context: Source register row SRC-227.</t>
      </text>
    </comment>
    <comment ref="D235" authorId="0" shapeId="0">
      <text>
        <t>Source: source_register.csv
Decision date: 20 August 2026
Context: Source register row SRC-227.</t>
      </text>
    </comment>
    <comment ref="E235" authorId="0" shapeId="0">
      <text>
        <t>Source: source_register.csv
Decision date: 20 August 2026
Context: Source register row SRC-227.</t>
      </text>
    </comment>
    <comment ref="F235" authorId="0" shapeId="0">
      <text>
        <t>Source: source_register.csv
Decision date: 20 August 2026
Context: Source register row SRC-227.</t>
      </text>
    </comment>
    <comment ref="G235" authorId="0" shapeId="0">
      <text>
        <t>Source: source_register.csv
Decision date: 20 August 2026
Context: Source register row SRC-227.</t>
      </text>
    </comment>
    <comment ref="H235" authorId="0" shapeId="0">
      <text>
        <t>Source: source_register.csv
Decision date: 20 August 2026
Context: Source register row SRC-227.</t>
      </text>
    </comment>
    <comment ref="I235" authorId="0" shapeId="0">
      <text>
        <t>Source: source_register.csv
Decision date: 20 August 2026
Context: Source register row SRC-227.</t>
      </text>
    </comment>
    <comment ref="C236" authorId="0" shapeId="0">
      <text>
        <t>Source: source_register.csv
Decision date: 20 August 2026
Context: Source register row SRC-228.</t>
      </text>
    </comment>
    <comment ref="D236" authorId="0" shapeId="0">
      <text>
        <t>Source: source_register.csv
Decision date: 20 August 2026
Context: Source register row SRC-228.</t>
      </text>
    </comment>
    <comment ref="E236" authorId="0" shapeId="0">
      <text>
        <t>Source: source_register.csv
Decision date: 20 August 2026
Context: Source register row SRC-228.</t>
      </text>
    </comment>
    <comment ref="F236" authorId="0" shapeId="0">
      <text>
        <t>Source: source_register.csv
Decision date: 20 August 2026
Context: Source register row SRC-228.</t>
      </text>
    </comment>
    <comment ref="G236" authorId="0" shapeId="0">
      <text>
        <t>Source: source_register.csv
Decision date: 20 August 2026
Context: Source register row SRC-228.</t>
      </text>
    </comment>
    <comment ref="H236" authorId="0" shapeId="0">
      <text>
        <t>Source: source_register.csv
Decision date: 20 August 2026
Context: Source register row SRC-228.</t>
      </text>
    </comment>
    <comment ref="I236" authorId="0" shapeId="0">
      <text>
        <t>Source: source_register.csv
Decision date: 20 August 2026
Context: Source register row SRC-228.</t>
      </text>
    </comment>
    <comment ref="C237" authorId="0" shapeId="0">
      <text>
        <t>Source: source_register.csv
Decision date: 20 August 2026
Context: Source register row SRC-229.</t>
      </text>
    </comment>
    <comment ref="D237" authorId="0" shapeId="0">
      <text>
        <t>Source: source_register.csv
Decision date: 20 August 2026
Context: Source register row SRC-229.</t>
      </text>
    </comment>
    <comment ref="E237" authorId="0" shapeId="0">
      <text>
        <t>Source: source_register.csv
Decision date: 20 August 2026
Context: Source register row SRC-229.</t>
      </text>
    </comment>
    <comment ref="F237" authorId="0" shapeId="0">
      <text>
        <t>Source: source_register.csv
Decision date: 20 August 2026
Context: Source register row SRC-229.</t>
      </text>
    </comment>
    <comment ref="G237" authorId="0" shapeId="0">
      <text>
        <t>Source: source_register.csv
Decision date: 20 August 2026
Context: Source register row SRC-229.</t>
      </text>
    </comment>
    <comment ref="H237" authorId="0" shapeId="0">
      <text>
        <t>Source: source_register.csv
Decision date: 20 August 2026
Context: Source register row SRC-229.</t>
      </text>
    </comment>
    <comment ref="I237" authorId="0" shapeId="0">
      <text>
        <t>Source: source_register.csv
Decision date: 20 August 2026
Context: Source register row SRC-229.</t>
      </text>
    </comment>
    <comment ref="C238" authorId="0" shapeId="0">
      <text>
        <t>Source: source_register.csv
Decision date: 20 August 2026
Context: Source register row SRC-230.</t>
      </text>
    </comment>
    <comment ref="D238" authorId="0" shapeId="0">
      <text>
        <t>Source: source_register.csv
Decision date: 20 August 2026
Context: Source register row SRC-230.</t>
      </text>
    </comment>
    <comment ref="E238" authorId="0" shapeId="0">
      <text>
        <t>Source: source_register.csv
Decision date: 20 August 2026
Context: Source register row SRC-230.</t>
      </text>
    </comment>
    <comment ref="F238" authorId="0" shapeId="0">
      <text>
        <t>Source: source_register.csv
Decision date: 20 August 2026
Context: Source register row SRC-230.</t>
      </text>
    </comment>
    <comment ref="G238" authorId="0" shapeId="0">
      <text>
        <t>Source: source_register.csv
Decision date: 20 August 2026
Context: Source register row SRC-230.</t>
      </text>
    </comment>
    <comment ref="H238" authorId="0" shapeId="0">
      <text>
        <t>Source: source_register.csv
Decision date: 20 August 2026
Context: Source register row SRC-230.</t>
      </text>
    </comment>
    <comment ref="I238" authorId="0" shapeId="0">
      <text>
        <t>Source: source_register.csv
Decision date: 20 August 2026
Context: Source register row SRC-230.</t>
      </text>
    </comment>
    <comment ref="C239" authorId="0" shapeId="0">
      <text>
        <t>Source: source_register.csv
Decision date: 20 August 2026
Context: Source register row SRC-231.</t>
      </text>
    </comment>
    <comment ref="D239" authorId="0" shapeId="0">
      <text>
        <t>Source: source_register.csv
Decision date: 20 August 2026
Context: Source register row SRC-231.</t>
      </text>
    </comment>
    <comment ref="E239" authorId="0" shapeId="0">
      <text>
        <t>Source: source_register.csv
Decision date: 20 August 2026
Context: Source register row SRC-231.</t>
      </text>
    </comment>
    <comment ref="F239" authorId="0" shapeId="0">
      <text>
        <t>Source: source_register.csv
Decision date: 20 August 2026
Context: Source register row SRC-231.</t>
      </text>
    </comment>
    <comment ref="G239" authorId="0" shapeId="0">
      <text>
        <t>Source: source_register.csv
Decision date: 20 August 2026
Context: Source register row SRC-231.</t>
      </text>
    </comment>
    <comment ref="H239" authorId="0" shapeId="0">
      <text>
        <t>Source: source_register.csv
Decision date: 20 August 2026
Context: Source register row SRC-231.</t>
      </text>
    </comment>
    <comment ref="I239" authorId="0" shapeId="0">
      <text>
        <t>Source: source_register.csv
Decision date: 20 August 2026
Context: Source register row SRC-231.</t>
      </text>
    </comment>
    <comment ref="C240" authorId="0" shapeId="0">
      <text>
        <t>Source: source_register.csv
Decision date: 20 August 2026
Context: Source register row SRC-232.</t>
      </text>
    </comment>
    <comment ref="D240" authorId="0" shapeId="0">
      <text>
        <t>Source: source_register.csv
Decision date: 20 August 2026
Context: Source register row SRC-232.</t>
      </text>
    </comment>
    <comment ref="E240" authorId="0" shapeId="0">
      <text>
        <t>Source: source_register.csv
Decision date: 20 August 2026
Context: Source register row SRC-232.</t>
      </text>
    </comment>
    <comment ref="F240" authorId="0" shapeId="0">
      <text>
        <t>Source: source_register.csv
Decision date: 20 August 2026
Context: Source register row SRC-232.</t>
      </text>
    </comment>
    <comment ref="G240" authorId="0" shapeId="0">
      <text>
        <t>Source: source_register.csv
Decision date: 20 August 2026
Context: Source register row SRC-232.</t>
      </text>
    </comment>
    <comment ref="H240" authorId="0" shapeId="0">
      <text>
        <t>Source: source_register.csv
Decision date: 20 August 2026
Context: Source register row SRC-232.</t>
      </text>
    </comment>
    <comment ref="I240" authorId="0" shapeId="0">
      <text>
        <t>Source: source_register.csv
Decision date: 20 August 2026
Context: Source register row SRC-232.</t>
      </text>
    </comment>
    <comment ref="C241" authorId="0" shapeId="0">
      <text>
        <t>Source: source_register.csv
Decision date: 20 August 2026
Context: Source register row SRC-233.</t>
      </text>
    </comment>
    <comment ref="D241" authorId="0" shapeId="0">
      <text>
        <t>Source: source_register.csv
Decision date: 20 August 2026
Context: Source register row SRC-233.</t>
      </text>
    </comment>
    <comment ref="E241" authorId="0" shapeId="0">
      <text>
        <t>Source: source_register.csv
Decision date: 20 August 2026
Context: Source register row SRC-233.</t>
      </text>
    </comment>
    <comment ref="F241" authorId="0" shapeId="0">
      <text>
        <t>Source: source_register.csv
Decision date: 20 August 2026
Context: Source register row SRC-233.</t>
      </text>
    </comment>
    <comment ref="G241" authorId="0" shapeId="0">
      <text>
        <t>Source: source_register.csv
Decision date: 20 August 2026
Context: Source register row SRC-233.</t>
      </text>
    </comment>
    <comment ref="H241" authorId="0" shapeId="0">
      <text>
        <t>Source: source_register.csv
Decision date: 20 August 2026
Context: Source register row SRC-233.</t>
      </text>
    </comment>
    <comment ref="I241" authorId="0" shapeId="0">
      <text>
        <t>Source: source_register.csv
Decision date: 20 August 2026
Context: Source register row SRC-233.</t>
      </text>
    </comment>
    <comment ref="C242" authorId="0" shapeId="0">
      <text>
        <t>Source: source_register.csv
Decision date: 20 August 2026
Context: Source register row SRC-234.</t>
      </text>
    </comment>
    <comment ref="D242" authorId="0" shapeId="0">
      <text>
        <t>Source: source_register.csv
Decision date: 20 August 2026
Context: Source register row SRC-234.</t>
      </text>
    </comment>
    <comment ref="E242" authorId="0" shapeId="0">
      <text>
        <t>Source: source_register.csv
Decision date: 20 August 2026
Context: Source register row SRC-234.</t>
      </text>
    </comment>
    <comment ref="F242" authorId="0" shapeId="0">
      <text>
        <t>Source: source_register.csv
Decision date: 20 August 2026
Context: Source register row SRC-234.</t>
      </text>
    </comment>
    <comment ref="G242" authorId="0" shapeId="0">
      <text>
        <t>Source: source_register.csv
Decision date: 20 August 2026
Context: Source register row SRC-234.</t>
      </text>
    </comment>
    <comment ref="H242" authorId="0" shapeId="0">
      <text>
        <t>Source: source_register.csv
Decision date: 20 August 2026
Context: Source register row SRC-234.</t>
      </text>
    </comment>
    <comment ref="I242" authorId="0" shapeId="0">
      <text>
        <t>Source: source_register.csv
Decision date: 20 August 2026
Context: Source register row SRC-234.</t>
      </text>
    </comment>
    <comment ref="C243" authorId="0" shapeId="0">
      <text>
        <t>Source: source_register.csv
Decision date: 20 August 2026
Context: Source register row SRC-235.</t>
      </text>
    </comment>
    <comment ref="D243" authorId="0" shapeId="0">
      <text>
        <t>Source: source_register.csv
Decision date: 20 August 2026
Context: Source register row SRC-235.</t>
      </text>
    </comment>
    <comment ref="E243" authorId="0" shapeId="0">
      <text>
        <t>Source: source_register.csv
Decision date: 20 August 2026
Context: Source register row SRC-235.</t>
      </text>
    </comment>
    <comment ref="F243" authorId="0" shapeId="0">
      <text>
        <t>Source: source_register.csv
Decision date: 20 August 2026
Context: Source register row SRC-235.</t>
      </text>
    </comment>
    <comment ref="G243" authorId="0" shapeId="0">
      <text>
        <t>Source: source_register.csv
Decision date: 20 August 2026
Context: Source register row SRC-235.</t>
      </text>
    </comment>
    <comment ref="H243" authorId="0" shapeId="0">
      <text>
        <t>Source: source_register.csv
Decision date: 20 August 2026
Context: Source register row SRC-235.</t>
      </text>
    </comment>
    <comment ref="I243" authorId="0" shapeId="0">
      <text>
        <t>Source: source_register.csv
Decision date: 20 August 2026
Context: Source register row SRC-235.</t>
      </text>
    </comment>
    <comment ref="C244" authorId="0" shapeId="0">
      <text>
        <t>Source: source_register.csv
Decision date: 20 August 2026
Context: Source register row SRC-236.</t>
      </text>
    </comment>
    <comment ref="D244" authorId="0" shapeId="0">
      <text>
        <t>Source: source_register.csv
Decision date: 20 August 2026
Context: Source register row SRC-236.</t>
      </text>
    </comment>
    <comment ref="E244" authorId="0" shapeId="0">
      <text>
        <t>Source: source_register.csv
Decision date: 20 August 2026
Context: Source register row SRC-236.</t>
      </text>
    </comment>
    <comment ref="F244" authorId="0" shapeId="0">
      <text>
        <t>Source: source_register.csv
Decision date: 20 August 2026
Context: Source register row SRC-236.</t>
      </text>
    </comment>
    <comment ref="G244" authorId="0" shapeId="0">
      <text>
        <t>Source: source_register.csv
Decision date: 20 August 2026
Context: Source register row SRC-236.</t>
      </text>
    </comment>
    <comment ref="H244" authorId="0" shapeId="0">
      <text>
        <t>Source: source_register.csv
Decision date: 20 August 2026
Context: Source register row SRC-236.</t>
      </text>
    </comment>
    <comment ref="I244" authorId="0" shapeId="0">
      <text>
        <t>Source: source_register.csv
Decision date: 20 August 2026
Context: Source register row SRC-236.</t>
      </text>
    </comment>
    <comment ref="C245" authorId="0" shapeId="0">
      <text>
        <t>Source: source_register.csv
Decision date: 20 August 2026
Context: Source register row SRC-237.</t>
      </text>
    </comment>
    <comment ref="D245" authorId="0" shapeId="0">
      <text>
        <t>Source: source_register.csv
Decision date: 20 August 2026
Context: Source register row SRC-237.</t>
      </text>
    </comment>
    <comment ref="E245" authorId="0" shapeId="0">
      <text>
        <t>Source: source_register.csv
Decision date: 20 August 2026
Context: Source register row SRC-237.</t>
      </text>
    </comment>
    <comment ref="F245" authorId="0" shapeId="0">
      <text>
        <t>Source: source_register.csv
Decision date: 20 August 2026
Context: Source register row SRC-237.</t>
      </text>
    </comment>
    <comment ref="G245" authorId="0" shapeId="0">
      <text>
        <t>Source: source_register.csv
Decision date: 20 August 2026
Context: Source register row SRC-237.</t>
      </text>
    </comment>
    <comment ref="H245" authorId="0" shapeId="0">
      <text>
        <t>Source: source_register.csv
Decision date: 20 August 2026
Context: Source register row SRC-237.</t>
      </text>
    </comment>
    <comment ref="I245" authorId="0" shapeId="0">
      <text>
        <t>Source: source_register.csv
Decision date: 20 August 2026
Context: Source register row SRC-237.</t>
      </text>
    </comment>
    <comment ref="C246" authorId="0" shapeId="0">
      <text>
        <t>Source: source_register.csv
Decision date: 20 August 2026
Context: Source register row SRC-238.</t>
      </text>
    </comment>
    <comment ref="D246" authorId="0" shapeId="0">
      <text>
        <t>Source: source_register.csv
Decision date: 20 August 2026
Context: Source register row SRC-238.</t>
      </text>
    </comment>
    <comment ref="E246" authorId="0" shapeId="0">
      <text>
        <t>Source: source_register.csv
Decision date: 20 August 2026
Context: Source register row SRC-238.</t>
      </text>
    </comment>
    <comment ref="F246" authorId="0" shapeId="0">
      <text>
        <t>Source: source_register.csv
Decision date: 20 August 2026
Context: Source register row SRC-238.</t>
      </text>
    </comment>
    <comment ref="G246" authorId="0" shapeId="0">
      <text>
        <t>Source: source_register.csv
Decision date: 20 August 2026
Context: Source register row SRC-238.</t>
      </text>
    </comment>
    <comment ref="H246" authorId="0" shapeId="0">
      <text>
        <t>Source: source_register.csv
Decision date: 20 August 2026
Context: Source register row SRC-238.</t>
      </text>
    </comment>
    <comment ref="I246" authorId="0" shapeId="0">
      <text>
        <t>Source: source_register.csv
Decision date: 20 August 2026
Context: Source register row SRC-238.</t>
      </text>
    </comment>
    <comment ref="C247" authorId="0" shapeId="0">
      <text>
        <t>Source: source_register.csv
Decision date: 20 August 2026
Context: Source register row SRC-239.</t>
      </text>
    </comment>
    <comment ref="D247" authorId="0" shapeId="0">
      <text>
        <t>Source: source_register.csv
Decision date: 20 August 2026
Context: Source register row SRC-239.</t>
      </text>
    </comment>
    <comment ref="E247" authorId="0" shapeId="0">
      <text>
        <t>Source: source_register.csv
Decision date: 20 August 2026
Context: Source register row SRC-239.</t>
      </text>
    </comment>
    <comment ref="F247" authorId="0" shapeId="0">
      <text>
        <t>Source: source_register.csv
Decision date: 20 August 2026
Context: Source register row SRC-239.</t>
      </text>
    </comment>
    <comment ref="G247" authorId="0" shapeId="0">
      <text>
        <t>Source: source_register.csv
Decision date: 20 August 2026
Context: Source register row SRC-239.</t>
      </text>
    </comment>
    <comment ref="H247" authorId="0" shapeId="0">
      <text>
        <t>Source: source_register.csv
Decision date: 20 August 2026
Context: Source register row SRC-239.</t>
      </text>
    </comment>
    <comment ref="I247" authorId="0" shapeId="0">
      <text>
        <t>Source: source_register.csv
Decision date: 20 August 2026
Context: Source register row SRC-239.</t>
      </text>
    </comment>
    <comment ref="C248" authorId="0" shapeId="0">
      <text>
        <t>Source: source_register.csv
Decision date: 20 August 2026
Context: Source register row SRC-240.</t>
      </text>
    </comment>
    <comment ref="D248" authorId="0" shapeId="0">
      <text>
        <t>Source: source_register.csv
Decision date: 20 August 2026
Context: Source register row SRC-240.</t>
      </text>
    </comment>
    <comment ref="E248" authorId="0" shapeId="0">
      <text>
        <t>Source: source_register.csv
Decision date: 20 August 2026
Context: Source register row SRC-240.</t>
      </text>
    </comment>
    <comment ref="F248" authorId="0" shapeId="0">
      <text>
        <t>Source: source_register.csv
Decision date: 20 August 2026
Context: Source register row SRC-240.</t>
      </text>
    </comment>
    <comment ref="G248" authorId="0" shapeId="0">
      <text>
        <t>Source: source_register.csv
Decision date: 20 August 2026
Context: Source register row SRC-240.</t>
      </text>
    </comment>
    <comment ref="H248" authorId="0" shapeId="0">
      <text>
        <t>Source: source_register.csv
Decision date: 20 August 2026
Context: Source register row SRC-240.</t>
      </text>
    </comment>
    <comment ref="I248" authorId="0" shapeId="0">
      <text>
        <t>Source: source_register.csv
Decision date: 20 August 2026
Context: Source register row SRC-240.</t>
      </text>
    </comment>
    <comment ref="C249" authorId="0" shapeId="0">
      <text>
        <t>Source: source_register.csv
Decision date: 20 August 2026
Context: Source register row SRC-241.</t>
      </text>
    </comment>
    <comment ref="D249" authorId="0" shapeId="0">
      <text>
        <t>Source: source_register.csv
Decision date: 20 August 2026
Context: Source register row SRC-241.</t>
      </text>
    </comment>
    <comment ref="E249" authorId="0" shapeId="0">
      <text>
        <t>Source: source_register.csv
Decision date: 20 August 2026
Context: Source register row SRC-241.</t>
      </text>
    </comment>
    <comment ref="F249" authorId="0" shapeId="0">
      <text>
        <t>Source: source_register.csv
Decision date: 20 August 2026
Context: Source register row SRC-241.</t>
      </text>
    </comment>
    <comment ref="G249" authorId="0" shapeId="0">
      <text>
        <t>Source: source_register.csv
Decision date: 20 August 2026
Context: Source register row SRC-241.</t>
      </text>
    </comment>
    <comment ref="H249" authorId="0" shapeId="0">
      <text>
        <t>Source: source_register.csv
Decision date: 20 August 2026
Context: Source register row SRC-241.</t>
      </text>
    </comment>
    <comment ref="I249" authorId="0" shapeId="0">
      <text>
        <t>Source: source_register.csv
Decision date: 20 August 2026
Context: Source register row SRC-241.</t>
      </text>
    </comment>
    <comment ref="C250" authorId="0" shapeId="0">
      <text>
        <t>Source: source_register.csv
Decision date: 20 August 2026
Context: Source register row SRC-242.</t>
      </text>
    </comment>
    <comment ref="D250" authorId="0" shapeId="0">
      <text>
        <t>Source: source_register.csv
Decision date: 20 August 2026
Context: Source register row SRC-242.</t>
      </text>
    </comment>
    <comment ref="E250" authorId="0" shapeId="0">
      <text>
        <t>Source: source_register.csv
Decision date: 20 August 2026
Context: Source register row SRC-242.</t>
      </text>
    </comment>
    <comment ref="F250" authorId="0" shapeId="0">
      <text>
        <t>Source: source_register.csv
Decision date: 20 August 2026
Context: Source register row SRC-242.</t>
      </text>
    </comment>
    <comment ref="G250" authorId="0" shapeId="0">
      <text>
        <t>Source: source_register.csv
Decision date: 20 August 2026
Context: Source register row SRC-242.</t>
      </text>
    </comment>
    <comment ref="H250" authorId="0" shapeId="0">
      <text>
        <t>Source: source_register.csv
Decision date: 20 August 2026
Context: Source register row SRC-242.</t>
      </text>
    </comment>
    <comment ref="I250" authorId="0" shapeId="0">
      <text>
        <t>Source: source_register.csv
Decision date: 20 August 2026
Context: Source register row SRC-242.</t>
      </text>
    </comment>
    <comment ref="C251" authorId="0" shapeId="0">
      <text>
        <t>Source: source_register.csv
Decision date: 20 August 2026
Context: Source register row SRC-243.</t>
      </text>
    </comment>
    <comment ref="D251" authorId="0" shapeId="0">
      <text>
        <t>Source: source_register.csv
Decision date: 20 August 2026
Context: Source register row SRC-243.</t>
      </text>
    </comment>
    <comment ref="E251" authorId="0" shapeId="0">
      <text>
        <t>Source: source_register.csv
Decision date: 20 August 2026
Context: Source register row SRC-243.</t>
      </text>
    </comment>
    <comment ref="F251" authorId="0" shapeId="0">
      <text>
        <t>Source: source_register.csv
Decision date: 20 August 2026
Context: Source register row SRC-243.</t>
      </text>
    </comment>
    <comment ref="G251" authorId="0" shapeId="0">
      <text>
        <t>Source: source_register.csv
Decision date: 20 August 2026
Context: Source register row SRC-243.</t>
      </text>
    </comment>
    <comment ref="H251" authorId="0" shapeId="0">
      <text>
        <t>Source: source_register.csv
Decision date: 20 August 2026
Context: Source register row SRC-243.</t>
      </text>
    </comment>
    <comment ref="I251" authorId="0" shapeId="0">
      <text>
        <t>Source: source_register.csv
Decision date: 20 August 2026
Context: Source register row SRC-243.</t>
      </text>
    </comment>
    <comment ref="C252" authorId="0" shapeId="0">
      <text>
        <t>Source: source_register.csv
Decision date: 20 August 2026
Context: Source register row SRC-244.</t>
      </text>
    </comment>
    <comment ref="D252" authorId="0" shapeId="0">
      <text>
        <t>Source: source_register.csv
Decision date: 20 August 2026
Context: Source register row SRC-244.</t>
      </text>
    </comment>
    <comment ref="E252" authorId="0" shapeId="0">
      <text>
        <t>Source: source_register.csv
Decision date: 20 August 2026
Context: Source register row SRC-244.</t>
      </text>
    </comment>
    <comment ref="F252" authorId="0" shapeId="0">
      <text>
        <t>Source: source_register.csv
Decision date: 20 August 2026
Context: Source register row SRC-244.</t>
      </text>
    </comment>
    <comment ref="G252" authorId="0" shapeId="0">
      <text>
        <t>Source: source_register.csv
Decision date: 20 August 2026
Context: Source register row SRC-244.</t>
      </text>
    </comment>
    <comment ref="H252" authorId="0" shapeId="0">
      <text>
        <t>Source: source_register.csv
Decision date: 20 August 2026
Context: Source register row SRC-244.</t>
      </text>
    </comment>
    <comment ref="I252" authorId="0" shapeId="0">
      <text>
        <t>Source: source_register.csv
Decision date: 20 August 2026
Context: Source register row SRC-244.</t>
      </text>
    </comment>
    <comment ref="C253" authorId="0" shapeId="0">
      <text>
        <t>Source: source_register.csv
Decision date: 20 August 2026
Context: Source register row SRC-245.</t>
      </text>
    </comment>
    <comment ref="D253" authorId="0" shapeId="0">
      <text>
        <t>Source: source_register.csv
Decision date: 20 August 2026
Context: Source register row SRC-245.</t>
      </text>
    </comment>
    <comment ref="E253" authorId="0" shapeId="0">
      <text>
        <t>Source: source_register.csv
Decision date: 20 August 2026
Context: Source register row SRC-245.</t>
      </text>
    </comment>
    <comment ref="F253" authorId="0" shapeId="0">
      <text>
        <t>Source: source_register.csv
Decision date: 20 August 2026
Context: Source register row SRC-245.</t>
      </text>
    </comment>
    <comment ref="G253" authorId="0" shapeId="0">
      <text>
        <t>Source: source_register.csv
Decision date: 20 August 2026
Context: Source register row SRC-245.</t>
      </text>
    </comment>
    <comment ref="H253" authorId="0" shapeId="0">
      <text>
        <t>Source: source_register.csv
Decision date: 20 August 2026
Context: Source register row SRC-245.</t>
      </text>
    </comment>
    <comment ref="I253" authorId="0" shapeId="0">
      <text>
        <t>Source: source_register.csv
Decision date: 20 August 2026
Context: Source register row SRC-245.</t>
      </text>
    </comment>
    <comment ref="C254" authorId="0" shapeId="0">
      <text>
        <t>Source: source_register.csv
Decision date: 20 August 2026
Context: Source register row SRC-246.</t>
      </text>
    </comment>
    <comment ref="D254" authorId="0" shapeId="0">
      <text>
        <t>Source: source_register.csv
Decision date: 20 August 2026
Context: Source register row SRC-246.</t>
      </text>
    </comment>
    <comment ref="E254" authorId="0" shapeId="0">
      <text>
        <t>Source: source_register.csv
Decision date: 20 August 2026
Context: Source register row SRC-246.</t>
      </text>
    </comment>
    <comment ref="F254" authorId="0" shapeId="0">
      <text>
        <t>Source: source_register.csv
Decision date: 20 August 2026
Context: Source register row SRC-246.</t>
      </text>
    </comment>
    <comment ref="G254" authorId="0" shapeId="0">
      <text>
        <t>Source: source_register.csv
Decision date: 20 August 2026
Context: Source register row SRC-246.</t>
      </text>
    </comment>
    <comment ref="H254" authorId="0" shapeId="0">
      <text>
        <t>Source: source_register.csv
Decision date: 20 August 2026
Context: Source register row SRC-246.</t>
      </text>
    </comment>
    <comment ref="I254" authorId="0" shapeId="0">
      <text>
        <t>Source: source_register.csv
Decision date: 20 August 2026
Context: Source register row SRC-246.</t>
      </text>
    </comment>
    <comment ref="C255" authorId="0" shapeId="0">
      <text>
        <t>Source: source_register.csv
Decision date: 20 August 2026
Context: Source register row SRC-247.</t>
      </text>
    </comment>
    <comment ref="D255" authorId="0" shapeId="0">
      <text>
        <t>Source: source_register.csv
Decision date: 20 August 2026
Context: Source register row SRC-247.</t>
      </text>
    </comment>
    <comment ref="E255" authorId="0" shapeId="0">
      <text>
        <t>Source: source_register.csv
Decision date: 20 August 2026
Context: Source register row SRC-247.</t>
      </text>
    </comment>
    <comment ref="F255" authorId="0" shapeId="0">
      <text>
        <t>Source: source_register.csv
Decision date: 20 August 2026
Context: Source register row SRC-247.</t>
      </text>
    </comment>
    <comment ref="G255" authorId="0" shapeId="0">
      <text>
        <t>Source: source_register.csv
Decision date: 20 August 2026
Context: Source register row SRC-247.</t>
      </text>
    </comment>
    <comment ref="H255" authorId="0" shapeId="0">
      <text>
        <t>Source: source_register.csv
Decision date: 20 August 2026
Context: Source register row SRC-247.</t>
      </text>
    </comment>
    <comment ref="I255" authorId="0" shapeId="0">
      <text>
        <t>Source: source_register.csv
Decision date: 20 August 2026
Context: Source register row SRC-247.</t>
      </text>
    </comment>
    <comment ref="C256" authorId="0" shapeId="0">
      <text>
        <t>Source: source_register.csv
Decision date: 20 August 2026
Context: Source register row SRC-248.</t>
      </text>
    </comment>
    <comment ref="D256" authorId="0" shapeId="0">
      <text>
        <t>Source: source_register.csv
Decision date: 20 August 2026
Context: Source register row SRC-248.</t>
      </text>
    </comment>
    <comment ref="E256" authorId="0" shapeId="0">
      <text>
        <t>Source: source_register.csv
Decision date: 20 August 2026
Context: Source register row SRC-248.</t>
      </text>
    </comment>
    <comment ref="F256" authorId="0" shapeId="0">
      <text>
        <t>Source: source_register.csv
Decision date: 20 August 2026
Context: Source register row SRC-248.</t>
      </text>
    </comment>
    <comment ref="G256" authorId="0" shapeId="0">
      <text>
        <t>Source: source_register.csv
Decision date: 20 August 2026
Context: Source register row SRC-248.</t>
      </text>
    </comment>
    <comment ref="H256" authorId="0" shapeId="0">
      <text>
        <t>Source: source_register.csv
Decision date: 20 August 2026
Context: Source register row SRC-248.</t>
      </text>
    </comment>
    <comment ref="I256" authorId="0" shapeId="0">
      <text>
        <t>Source: source_register.csv
Decision date: 20 August 2026
Context: Source register row SRC-248.</t>
      </text>
    </comment>
    <comment ref="C257" authorId="0" shapeId="0">
      <text>
        <t>Source: source_register.csv
Decision date: 20 August 2026
Context: Source register row SRC-249.</t>
      </text>
    </comment>
    <comment ref="D257" authorId="0" shapeId="0">
      <text>
        <t>Source: source_register.csv
Decision date: 20 August 2026
Context: Source register row SRC-249.</t>
      </text>
    </comment>
    <comment ref="E257" authorId="0" shapeId="0">
      <text>
        <t>Source: source_register.csv
Decision date: 20 August 2026
Context: Source register row SRC-249.</t>
      </text>
    </comment>
    <comment ref="F257" authorId="0" shapeId="0">
      <text>
        <t>Source: source_register.csv
Decision date: 20 August 2026
Context: Source register row SRC-249.</t>
      </text>
    </comment>
    <comment ref="G257" authorId="0" shapeId="0">
      <text>
        <t>Source: source_register.csv
Decision date: 20 August 2026
Context: Source register row SRC-249.</t>
      </text>
    </comment>
    <comment ref="H257" authorId="0" shapeId="0">
      <text>
        <t>Source: source_register.csv
Decision date: 20 August 2026
Context: Source register row SRC-249.</t>
      </text>
    </comment>
    <comment ref="I257" authorId="0" shapeId="0">
      <text>
        <t>Source: source_register.csv
Decision date: 20 August 2026
Context: Source register row SRC-249.</t>
      </text>
    </comment>
    <comment ref="C258" authorId="0" shapeId="0">
      <text>
        <t>Source: source_register.csv
Decision date: 20 August 2026
Context: Source register row SRC-250.</t>
      </text>
    </comment>
    <comment ref="D258" authorId="0" shapeId="0">
      <text>
        <t>Source: source_register.csv
Decision date: 20 August 2026
Context: Source register row SRC-250.</t>
      </text>
    </comment>
    <comment ref="E258" authorId="0" shapeId="0">
      <text>
        <t>Source: source_register.csv
Decision date: 20 August 2026
Context: Source register row SRC-250.</t>
      </text>
    </comment>
    <comment ref="F258" authorId="0" shapeId="0">
      <text>
        <t>Source: source_register.csv
Decision date: 20 August 2026
Context: Source register row SRC-250.</t>
      </text>
    </comment>
    <comment ref="G258" authorId="0" shapeId="0">
      <text>
        <t>Source: source_register.csv
Decision date: 20 August 2026
Context: Source register row SRC-250.</t>
      </text>
    </comment>
    <comment ref="H258" authorId="0" shapeId="0">
      <text>
        <t>Source: source_register.csv
Decision date: 20 August 2026
Context: Source register row SRC-250.</t>
      </text>
    </comment>
    <comment ref="I258" authorId="0" shapeId="0">
      <text>
        <t>Source: source_register.csv
Decision date: 20 August 2026
Context: Source register row SRC-250.</t>
      </text>
    </comment>
    <comment ref="C259" authorId="0" shapeId="0">
      <text>
        <t>Source: source_register.csv
Decision date: 20 August 2026
Context: Source register row SRC-251.</t>
      </text>
    </comment>
    <comment ref="D259" authorId="0" shapeId="0">
      <text>
        <t>Source: source_register.csv
Decision date: 20 August 2026
Context: Source register row SRC-251.</t>
      </text>
    </comment>
    <comment ref="E259" authorId="0" shapeId="0">
      <text>
        <t>Source: source_register.csv
Decision date: 20 August 2026
Context: Source register row SRC-251.</t>
      </text>
    </comment>
    <comment ref="F259" authorId="0" shapeId="0">
      <text>
        <t>Source: source_register.csv
Decision date: 20 August 2026
Context: Source register row SRC-251.</t>
      </text>
    </comment>
    <comment ref="G259" authorId="0" shapeId="0">
      <text>
        <t>Source: source_register.csv
Decision date: 20 August 2026
Context: Source register row SRC-251.</t>
      </text>
    </comment>
    <comment ref="H259" authorId="0" shapeId="0">
      <text>
        <t>Source: source_register.csv
Decision date: 20 August 2026
Context: Source register row SRC-251.</t>
      </text>
    </comment>
    <comment ref="I259" authorId="0" shapeId="0">
      <text>
        <t>Source: source_register.csv
Decision date: 20 August 2026
Context: Source register row SRC-251.</t>
      </text>
    </comment>
    <comment ref="C260" authorId="0" shapeId="0">
      <text>
        <t>Source: source_register.csv
Decision date: 20 August 2026
Context: Source register row SRC-252.</t>
      </text>
    </comment>
    <comment ref="D260" authorId="0" shapeId="0">
      <text>
        <t>Source: source_register.csv
Decision date: 20 August 2026
Context: Source register row SRC-252.</t>
      </text>
    </comment>
    <comment ref="E260" authorId="0" shapeId="0">
      <text>
        <t>Source: source_register.csv
Decision date: 20 August 2026
Context: Source register row SRC-252.</t>
      </text>
    </comment>
    <comment ref="F260" authorId="0" shapeId="0">
      <text>
        <t>Source: source_register.csv
Decision date: 20 August 2026
Context: Source register row SRC-252.</t>
      </text>
    </comment>
    <comment ref="G260" authorId="0" shapeId="0">
      <text>
        <t>Source: source_register.csv
Decision date: 20 August 2026
Context: Source register row SRC-252.</t>
      </text>
    </comment>
    <comment ref="H260" authorId="0" shapeId="0">
      <text>
        <t>Source: source_register.csv
Decision date: 20 August 2026
Context: Source register row SRC-252.</t>
      </text>
    </comment>
    <comment ref="I260" authorId="0" shapeId="0">
      <text>
        <t>Source: source_register.csv
Decision date: 20 August 2026
Context: Source register row SRC-252.</t>
      </text>
    </comment>
    <comment ref="C261" authorId="0" shapeId="0">
      <text>
        <t>Source: source_register.csv
Decision date: 20 August 2026
Context: Source register row SRC-253.</t>
      </text>
    </comment>
    <comment ref="D261" authorId="0" shapeId="0">
      <text>
        <t>Source: source_register.csv
Decision date: 20 August 2026
Context: Source register row SRC-253.</t>
      </text>
    </comment>
    <comment ref="E261" authorId="0" shapeId="0">
      <text>
        <t>Source: source_register.csv
Decision date: 20 August 2026
Context: Source register row SRC-253.</t>
      </text>
    </comment>
    <comment ref="F261" authorId="0" shapeId="0">
      <text>
        <t>Source: source_register.csv
Decision date: 20 August 2026
Context: Source register row SRC-253.</t>
      </text>
    </comment>
    <comment ref="G261" authorId="0" shapeId="0">
      <text>
        <t>Source: source_register.csv
Decision date: 20 August 2026
Context: Source register row SRC-253.</t>
      </text>
    </comment>
    <comment ref="H261" authorId="0" shapeId="0">
      <text>
        <t>Source: source_register.csv
Decision date: 20 August 2026
Context: Source register row SRC-253.</t>
      </text>
    </comment>
    <comment ref="I261" authorId="0" shapeId="0">
      <text>
        <t>Source: source_register.csv
Decision date: 20 August 2026
Context: Source register row SRC-253.</t>
      </text>
    </comment>
    <comment ref="C262" authorId="0" shapeId="0">
      <text>
        <t>Source: source_register.csv
Decision date: 20 August 2026
Context: Source register row SRC-254.</t>
      </text>
    </comment>
    <comment ref="D262" authorId="0" shapeId="0">
      <text>
        <t>Source: source_register.csv
Decision date: 20 August 2026
Context: Source register row SRC-254.</t>
      </text>
    </comment>
    <comment ref="E262" authorId="0" shapeId="0">
      <text>
        <t>Source: source_register.csv
Decision date: 20 August 2026
Context: Source register row SRC-254.</t>
      </text>
    </comment>
    <comment ref="F262" authorId="0" shapeId="0">
      <text>
        <t>Source: source_register.csv
Decision date: 20 August 2026
Context: Source register row SRC-254.</t>
      </text>
    </comment>
    <comment ref="G262" authorId="0" shapeId="0">
      <text>
        <t>Source: source_register.csv
Decision date: 20 August 2026
Context: Source register row SRC-254.</t>
      </text>
    </comment>
    <comment ref="H262" authorId="0" shapeId="0">
      <text>
        <t>Source: source_register.csv
Decision date: 20 August 2026
Context: Source register row SRC-254.</t>
      </text>
    </comment>
    <comment ref="I262" authorId="0" shapeId="0">
      <text>
        <t>Source: source_register.csv
Decision date: 20 August 2026
Context: Source register row SRC-254.</t>
      </text>
    </comment>
    <comment ref="C263" authorId="0" shapeId="0">
      <text>
        <t>Source: source_register.csv
Decision date: 20 August 2026
Context: Source register row SRC-255.</t>
      </text>
    </comment>
    <comment ref="D263" authorId="0" shapeId="0">
      <text>
        <t>Source: source_register.csv
Decision date: 20 August 2026
Context: Source register row SRC-255.</t>
      </text>
    </comment>
    <comment ref="E263" authorId="0" shapeId="0">
      <text>
        <t>Source: source_register.csv
Decision date: 20 August 2026
Context: Source register row SRC-255.</t>
      </text>
    </comment>
    <comment ref="F263" authorId="0" shapeId="0">
      <text>
        <t>Source: source_register.csv
Decision date: 20 August 2026
Context: Source register row SRC-255.</t>
      </text>
    </comment>
    <comment ref="G263" authorId="0" shapeId="0">
      <text>
        <t>Source: source_register.csv
Decision date: 20 August 2026
Context: Source register row SRC-255.</t>
      </text>
    </comment>
    <comment ref="H263" authorId="0" shapeId="0">
      <text>
        <t>Source: source_register.csv
Decision date: 20 August 2026
Context: Source register row SRC-255.</t>
      </text>
    </comment>
    <comment ref="I263" authorId="0" shapeId="0">
      <text>
        <t>Source: source_register.csv
Decision date: 20 August 2026
Context: Source register row SRC-255.</t>
      </text>
    </comment>
    <comment ref="C264" authorId="0" shapeId="0">
      <text>
        <t>Source: source_register.csv
Decision date: 20 August 2026
Context: Source register row SRC-256.</t>
      </text>
    </comment>
    <comment ref="D264" authorId="0" shapeId="0">
      <text>
        <t>Source: source_register.csv
Decision date: 20 August 2026
Context: Source register row SRC-256.</t>
      </text>
    </comment>
    <comment ref="E264" authorId="0" shapeId="0">
      <text>
        <t>Source: source_register.csv
Decision date: 20 August 2026
Context: Source register row SRC-256.</t>
      </text>
    </comment>
    <comment ref="F264" authorId="0" shapeId="0">
      <text>
        <t>Source: source_register.csv
Decision date: 20 August 2026
Context: Source register row SRC-256.</t>
      </text>
    </comment>
    <comment ref="G264" authorId="0" shapeId="0">
      <text>
        <t>Source: source_register.csv
Decision date: 20 August 2026
Context: Source register row SRC-256.</t>
      </text>
    </comment>
    <comment ref="H264" authorId="0" shapeId="0">
      <text>
        <t>Source: source_register.csv
Decision date: 20 August 2026
Context: Source register row SRC-256.</t>
      </text>
    </comment>
    <comment ref="I264" authorId="0" shapeId="0">
      <text>
        <t>Source: source_register.csv
Decision date: 20 August 2026
Context: Source register row SRC-256.</t>
      </text>
    </comment>
    <comment ref="C265" authorId="0" shapeId="0">
      <text>
        <t>Source: source_register.csv
Decision date: 20 August 2026
Context: Source register row SRC-257.</t>
      </text>
    </comment>
    <comment ref="D265" authorId="0" shapeId="0">
      <text>
        <t>Source: source_register.csv
Decision date: 20 August 2026
Context: Source register row SRC-257.</t>
      </text>
    </comment>
    <comment ref="E265" authorId="0" shapeId="0">
      <text>
        <t>Source: source_register.csv
Decision date: 20 August 2026
Context: Source register row SRC-257.</t>
      </text>
    </comment>
    <comment ref="F265" authorId="0" shapeId="0">
      <text>
        <t>Source: source_register.csv
Decision date: 20 August 2026
Context: Source register row SRC-257.</t>
      </text>
    </comment>
    <comment ref="G265" authorId="0" shapeId="0">
      <text>
        <t>Source: source_register.csv
Decision date: 20 August 2026
Context: Source register row SRC-257.</t>
      </text>
    </comment>
    <comment ref="H265" authorId="0" shapeId="0">
      <text>
        <t>Source: source_register.csv
Decision date: 20 August 2026
Context: Source register row SRC-257.</t>
      </text>
    </comment>
    <comment ref="I265" authorId="0" shapeId="0">
      <text>
        <t>Source: source_register.csv
Decision date: 20 August 2026
Context: Source register row SRC-257.</t>
      </text>
    </comment>
    <comment ref="C266" authorId="0" shapeId="0">
      <text>
        <t>Source: source_register.csv
Decision date: 20 August 2026
Context: Source register row SRC-258.</t>
      </text>
    </comment>
    <comment ref="D266" authorId="0" shapeId="0">
      <text>
        <t>Source: source_register.csv
Decision date: 20 August 2026
Context: Source register row SRC-258.</t>
      </text>
    </comment>
    <comment ref="E266" authorId="0" shapeId="0">
      <text>
        <t>Source: source_register.csv
Decision date: 20 August 2026
Context: Source register row SRC-258.</t>
      </text>
    </comment>
    <comment ref="F266" authorId="0" shapeId="0">
      <text>
        <t>Source: source_register.csv
Decision date: 20 August 2026
Context: Source register row SRC-258.</t>
      </text>
    </comment>
    <comment ref="G266" authorId="0" shapeId="0">
      <text>
        <t>Source: source_register.csv
Decision date: 20 August 2026
Context: Source register row SRC-258.</t>
      </text>
    </comment>
    <comment ref="H266" authorId="0" shapeId="0">
      <text>
        <t>Source: source_register.csv
Decision date: 20 August 2026
Context: Source register row SRC-258.</t>
      </text>
    </comment>
    <comment ref="I266" authorId="0" shapeId="0">
      <text>
        <t>Source: source_register.csv
Decision date: 20 August 2026
Context: Source register row SRC-258.</t>
      </text>
    </comment>
    <comment ref="C267" authorId="0" shapeId="0">
      <text>
        <t>Source: source_register.csv
Decision date: 20 August 2026
Context: Source register row SRC-259.</t>
      </text>
    </comment>
    <comment ref="D267" authorId="0" shapeId="0">
      <text>
        <t>Source: source_register.csv
Decision date: 20 August 2026
Context: Source register row SRC-259.</t>
      </text>
    </comment>
    <comment ref="E267" authorId="0" shapeId="0">
      <text>
        <t>Source: source_register.csv
Decision date: 20 August 2026
Context: Source register row SRC-259.</t>
      </text>
    </comment>
    <comment ref="F267" authorId="0" shapeId="0">
      <text>
        <t>Source: source_register.csv
Decision date: 20 August 2026
Context: Source register row SRC-259.</t>
      </text>
    </comment>
    <comment ref="G267" authorId="0" shapeId="0">
      <text>
        <t>Source: source_register.csv
Decision date: 20 August 2026
Context: Source register row SRC-259.</t>
      </text>
    </comment>
    <comment ref="H267" authorId="0" shapeId="0">
      <text>
        <t>Source: source_register.csv
Decision date: 20 August 2026
Context: Source register row SRC-259.</t>
      </text>
    </comment>
    <comment ref="I267" authorId="0" shapeId="0">
      <text>
        <t>Source: source_register.csv
Decision date: 20 August 2026
Context: Source register row SRC-259.</t>
      </text>
    </comment>
    <comment ref="C268" authorId="0" shapeId="0">
      <text>
        <t>Source: source_register.csv
Decision date: 20 August 2026
Context: Source register row SRC-260.</t>
      </text>
    </comment>
    <comment ref="D268" authorId="0" shapeId="0">
      <text>
        <t>Source: source_register.csv
Decision date: 20 August 2026
Context: Source register row SRC-260.</t>
      </text>
    </comment>
    <comment ref="E268" authorId="0" shapeId="0">
      <text>
        <t>Source: source_register.csv
Decision date: 20 August 2026
Context: Source register row SRC-260.</t>
      </text>
    </comment>
    <comment ref="F268" authorId="0" shapeId="0">
      <text>
        <t>Source: source_register.csv
Decision date: 20 August 2026
Context: Source register row SRC-260.</t>
      </text>
    </comment>
    <comment ref="G268" authorId="0" shapeId="0">
      <text>
        <t>Source: source_register.csv
Decision date: 20 August 2026
Context: Source register row SRC-260.</t>
      </text>
    </comment>
    <comment ref="H268" authorId="0" shapeId="0">
      <text>
        <t>Source: source_register.csv
Decision date: 20 August 2026
Context: Source register row SRC-260.</t>
      </text>
    </comment>
    <comment ref="I268" authorId="0" shapeId="0">
      <text>
        <t>Source: source_register.csv
Decision date: 20 August 2026
Context: Source register row SRC-260.</t>
      </text>
    </comment>
    <comment ref="C269" authorId="0" shapeId="0">
      <text>
        <t>Source: source_register.csv
Decision date: 20 August 2026
Context: Source register row SRC-261.</t>
      </text>
    </comment>
    <comment ref="D269" authorId="0" shapeId="0">
      <text>
        <t>Source: source_register.csv
Decision date: 20 August 2026
Context: Source register row SRC-261.</t>
      </text>
    </comment>
    <comment ref="E269" authorId="0" shapeId="0">
      <text>
        <t>Source: source_register.csv
Decision date: 20 August 2026
Context: Source register row SRC-261.</t>
      </text>
    </comment>
    <comment ref="F269" authorId="0" shapeId="0">
      <text>
        <t>Source: source_register.csv
Decision date: 20 August 2026
Context: Source register row SRC-261.</t>
      </text>
    </comment>
    <comment ref="G269" authorId="0" shapeId="0">
      <text>
        <t>Source: source_register.csv
Decision date: 20 August 2026
Context: Source register row SRC-261.</t>
      </text>
    </comment>
    <comment ref="H269" authorId="0" shapeId="0">
      <text>
        <t>Source: source_register.csv
Decision date: 20 August 2026
Context: Source register row SRC-261.</t>
      </text>
    </comment>
    <comment ref="I269" authorId="0" shapeId="0">
      <text>
        <t>Source: source_register.csv
Decision date: 20 August 2026
Context: Source register row SRC-261.</t>
      </text>
    </comment>
    <comment ref="C270" authorId="0" shapeId="0">
      <text>
        <t>Source: source_register.csv
Decision date: 20 August 2026
Context: Source register row SRC-262.</t>
      </text>
    </comment>
    <comment ref="D270" authorId="0" shapeId="0">
      <text>
        <t>Source: source_register.csv
Decision date: 20 August 2026
Context: Source register row SRC-262.</t>
      </text>
    </comment>
    <comment ref="E270" authorId="0" shapeId="0">
      <text>
        <t>Source: source_register.csv
Decision date: 20 August 2026
Context: Source register row SRC-262.</t>
      </text>
    </comment>
    <comment ref="F270" authorId="0" shapeId="0">
      <text>
        <t>Source: source_register.csv
Decision date: 20 August 2026
Context: Source register row SRC-262.</t>
      </text>
    </comment>
    <comment ref="G270" authorId="0" shapeId="0">
      <text>
        <t>Source: source_register.csv
Decision date: 20 August 2026
Context: Source register row SRC-262.</t>
      </text>
    </comment>
    <comment ref="H270" authorId="0" shapeId="0">
      <text>
        <t>Source: source_register.csv
Decision date: 20 August 2026
Context: Source register row SRC-262.</t>
      </text>
    </comment>
    <comment ref="I270" authorId="0" shapeId="0">
      <text>
        <t>Source: source_register.csv
Decision date: 20 August 2026
Context: Source register row SRC-262.</t>
      </text>
    </comment>
    <comment ref="C271" authorId="0" shapeId="0">
      <text>
        <t>Source: source_register.csv
Decision date: 20 August 2026
Context: Source register row SRC-263.</t>
      </text>
    </comment>
    <comment ref="D271" authorId="0" shapeId="0">
      <text>
        <t>Source: source_register.csv
Decision date: 20 August 2026
Context: Source register row SRC-263.</t>
      </text>
    </comment>
    <comment ref="E271" authorId="0" shapeId="0">
      <text>
        <t>Source: source_register.csv
Decision date: 20 August 2026
Context: Source register row SRC-263.</t>
      </text>
    </comment>
    <comment ref="F271" authorId="0" shapeId="0">
      <text>
        <t>Source: source_register.csv
Decision date: 20 August 2026
Context: Source register row SRC-263.</t>
      </text>
    </comment>
    <comment ref="G271" authorId="0" shapeId="0">
      <text>
        <t>Source: source_register.csv
Decision date: 20 August 2026
Context: Source register row SRC-263.</t>
      </text>
    </comment>
    <comment ref="H271" authorId="0" shapeId="0">
      <text>
        <t>Source: source_register.csv
Decision date: 20 August 2026
Context: Source register row SRC-263.</t>
      </text>
    </comment>
    <comment ref="I271" authorId="0" shapeId="0">
      <text>
        <t>Source: source_register.csv
Decision date: 20 August 2026
Context: Source register row SRC-263.</t>
      </text>
    </comment>
    <comment ref="C272" authorId="0" shapeId="0">
      <text>
        <t>Source: source_register.csv
Decision date: 20 August 2026
Context: Source register row SRC-264.</t>
      </text>
    </comment>
    <comment ref="D272" authorId="0" shapeId="0">
      <text>
        <t>Source: source_register.csv
Decision date: 20 August 2026
Context: Source register row SRC-264.</t>
      </text>
    </comment>
    <comment ref="E272" authorId="0" shapeId="0">
      <text>
        <t>Source: source_register.csv
Decision date: 20 August 2026
Context: Source register row SRC-264.</t>
      </text>
    </comment>
    <comment ref="F272" authorId="0" shapeId="0">
      <text>
        <t>Source: source_register.csv
Decision date: 20 August 2026
Context: Source register row SRC-264.</t>
      </text>
    </comment>
    <comment ref="G272" authorId="0" shapeId="0">
      <text>
        <t>Source: source_register.csv
Decision date: 20 August 2026
Context: Source register row SRC-264.</t>
      </text>
    </comment>
    <comment ref="H272" authorId="0" shapeId="0">
      <text>
        <t>Source: source_register.csv
Decision date: 20 August 2026
Context: Source register row SRC-264.</t>
      </text>
    </comment>
    <comment ref="I272" authorId="0" shapeId="0">
      <text>
        <t>Source: source_register.csv
Decision date: 20 August 2026
Context: Source register row SRC-264.</t>
      </text>
    </comment>
    <comment ref="C273" authorId="0" shapeId="0">
      <text>
        <t>Source: source_register.csv
Decision date: 20 August 2026
Context: Source register row SRC-265.</t>
      </text>
    </comment>
    <comment ref="D273" authorId="0" shapeId="0">
      <text>
        <t>Source: source_register.csv
Decision date: 20 August 2026
Context: Source register row SRC-265.</t>
      </text>
    </comment>
    <comment ref="E273" authorId="0" shapeId="0">
      <text>
        <t>Source: source_register.csv
Decision date: 20 August 2026
Context: Source register row SRC-265.</t>
      </text>
    </comment>
    <comment ref="F273" authorId="0" shapeId="0">
      <text>
        <t>Source: source_register.csv
Decision date: 20 August 2026
Context: Source register row SRC-265.</t>
      </text>
    </comment>
    <comment ref="G273" authorId="0" shapeId="0">
      <text>
        <t>Source: source_register.csv
Decision date: 20 August 2026
Context: Source register row SRC-265.</t>
      </text>
    </comment>
    <comment ref="H273" authorId="0" shapeId="0">
      <text>
        <t>Source: source_register.csv
Decision date: 20 August 2026
Context: Source register row SRC-265.</t>
      </text>
    </comment>
    <comment ref="I273" authorId="0" shapeId="0">
      <text>
        <t>Source: source_register.csv
Decision date: 20 August 2026
Context: Source register row SRC-265.</t>
      </text>
    </comment>
    <comment ref="C274" authorId="0" shapeId="0">
      <text>
        <t>Source: source_register.csv
Decision date: 20 August 2026
Context: Source register row SRC-266.</t>
      </text>
    </comment>
    <comment ref="D274" authorId="0" shapeId="0">
      <text>
        <t>Source: source_register.csv
Decision date: 20 August 2026
Context: Source register row SRC-266.</t>
      </text>
    </comment>
    <comment ref="E274" authorId="0" shapeId="0">
      <text>
        <t>Source: source_register.csv
Decision date: 20 August 2026
Context: Source register row SRC-266.</t>
      </text>
    </comment>
    <comment ref="F274" authorId="0" shapeId="0">
      <text>
        <t>Source: source_register.csv
Decision date: 20 August 2026
Context: Source register row SRC-266.</t>
      </text>
    </comment>
    <comment ref="G274" authorId="0" shapeId="0">
      <text>
        <t>Source: source_register.csv
Decision date: 20 August 2026
Context: Source register row SRC-266.</t>
      </text>
    </comment>
    <comment ref="H274" authorId="0" shapeId="0">
      <text>
        <t>Source: source_register.csv
Decision date: 20 August 2026
Context: Source register row SRC-266.</t>
      </text>
    </comment>
    <comment ref="I274" authorId="0" shapeId="0">
      <text>
        <t>Source: source_register.csv
Decision date: 20 August 2026
Context: Source register row SRC-266.</t>
      </text>
    </comment>
    <comment ref="C275" authorId="0" shapeId="0">
      <text>
        <t>Source: source_register.csv
Decision date: 20 August 2026
Context: Source register row SRC-267.</t>
      </text>
    </comment>
    <comment ref="D275" authorId="0" shapeId="0">
      <text>
        <t>Source: source_register.csv
Decision date: 20 August 2026
Context: Source register row SRC-267.</t>
      </text>
    </comment>
    <comment ref="E275" authorId="0" shapeId="0">
      <text>
        <t>Source: source_register.csv
Decision date: 20 August 2026
Context: Source register row SRC-267.</t>
      </text>
    </comment>
    <comment ref="F275" authorId="0" shapeId="0">
      <text>
        <t>Source: source_register.csv
Decision date: 20 August 2026
Context: Source register row SRC-267.</t>
      </text>
    </comment>
    <comment ref="G275" authorId="0" shapeId="0">
      <text>
        <t>Source: source_register.csv
Decision date: 20 August 2026
Context: Source register row SRC-267.</t>
      </text>
    </comment>
    <comment ref="H275" authorId="0" shapeId="0">
      <text>
        <t>Source: source_register.csv
Decision date: 20 August 2026
Context: Source register row SRC-267.</t>
      </text>
    </comment>
    <comment ref="I275" authorId="0" shapeId="0">
      <text>
        <t>Source: source_register.csv
Decision date: 20 August 2026
Context: Source register row SRC-267.</t>
      </text>
    </comment>
    <comment ref="C276" authorId="0" shapeId="0">
      <text>
        <t>Source: source_register.csv
Decision date: 20 August 2026
Context: Source register row SRC-268.</t>
      </text>
    </comment>
    <comment ref="D276" authorId="0" shapeId="0">
      <text>
        <t>Source: source_register.csv
Decision date: 20 August 2026
Context: Source register row SRC-268.</t>
      </text>
    </comment>
    <comment ref="E276" authorId="0" shapeId="0">
      <text>
        <t>Source: source_register.csv
Decision date: 20 August 2026
Context: Source register row SRC-268.</t>
      </text>
    </comment>
    <comment ref="F276" authorId="0" shapeId="0">
      <text>
        <t>Source: source_register.csv
Decision date: 20 August 2026
Context: Source register row SRC-268.</t>
      </text>
    </comment>
    <comment ref="G276" authorId="0" shapeId="0">
      <text>
        <t>Source: source_register.csv
Decision date: 20 August 2026
Context: Source register row SRC-268.</t>
      </text>
    </comment>
    <comment ref="H276" authorId="0" shapeId="0">
      <text>
        <t>Source: source_register.csv
Decision date: 20 August 2026
Context: Source register row SRC-268.</t>
      </text>
    </comment>
    <comment ref="I276" authorId="0" shapeId="0">
      <text>
        <t>Source: source_register.csv
Decision date: 20 August 2026
Context: Source register row SRC-268.</t>
      </text>
    </comment>
    <comment ref="C277" authorId="0" shapeId="0">
      <text>
        <t>Source: source_register.csv
Decision date: 20 August 2026
Context: Source register row SRC-269.</t>
      </text>
    </comment>
    <comment ref="D277" authorId="0" shapeId="0">
      <text>
        <t>Source: source_register.csv
Decision date: 20 August 2026
Context: Source register row SRC-269.</t>
      </text>
    </comment>
    <comment ref="E277" authorId="0" shapeId="0">
      <text>
        <t>Source: source_register.csv
Decision date: 20 August 2026
Context: Source register row SRC-269.</t>
      </text>
    </comment>
    <comment ref="F277" authorId="0" shapeId="0">
      <text>
        <t>Source: source_register.csv
Decision date: 20 August 2026
Context: Source register row SRC-269.</t>
      </text>
    </comment>
    <comment ref="G277" authorId="0" shapeId="0">
      <text>
        <t>Source: source_register.csv
Decision date: 20 August 2026
Context: Source register row SRC-269.</t>
      </text>
    </comment>
    <comment ref="H277" authorId="0" shapeId="0">
      <text>
        <t>Source: source_register.csv
Decision date: 20 August 2026
Context: Source register row SRC-269.</t>
      </text>
    </comment>
    <comment ref="I277" authorId="0" shapeId="0">
      <text>
        <t>Source: source_register.csv
Decision date: 20 August 2026
Context: Source register row SRC-269.</t>
      </text>
    </comment>
    <comment ref="C278" authorId="0" shapeId="0">
      <text>
        <t>Source: source_register.csv
Decision date: 20 August 2026
Context: Source register row SRC-270.</t>
      </text>
    </comment>
    <comment ref="D278" authorId="0" shapeId="0">
      <text>
        <t>Source: source_register.csv
Decision date: 20 August 2026
Context: Source register row SRC-270.</t>
      </text>
    </comment>
    <comment ref="E278" authorId="0" shapeId="0">
      <text>
        <t>Source: source_register.csv
Decision date: 20 August 2026
Context: Source register row SRC-270.</t>
      </text>
    </comment>
    <comment ref="F278" authorId="0" shapeId="0">
      <text>
        <t>Source: source_register.csv
Decision date: 20 August 2026
Context: Source register row SRC-270.</t>
      </text>
    </comment>
    <comment ref="G278" authorId="0" shapeId="0">
      <text>
        <t>Source: source_register.csv
Decision date: 20 August 2026
Context: Source register row SRC-270.</t>
      </text>
    </comment>
    <comment ref="H278" authorId="0" shapeId="0">
      <text>
        <t>Source: source_register.csv
Decision date: 20 August 2026
Context: Source register row SRC-270.</t>
      </text>
    </comment>
    <comment ref="I278" authorId="0" shapeId="0">
      <text>
        <t>Source: source_register.csv
Decision date: 20 August 2026
Context: Source register row SRC-270.</t>
      </text>
    </comment>
    <comment ref="C279" authorId="0" shapeId="0">
      <text>
        <t>Source: source_register.csv
Decision date: 20 August 2026
Context: Source register row SRC-271.</t>
      </text>
    </comment>
    <comment ref="D279" authorId="0" shapeId="0">
      <text>
        <t>Source: source_register.csv
Decision date: 20 August 2026
Context: Source register row SRC-271.</t>
      </text>
    </comment>
    <comment ref="E279" authorId="0" shapeId="0">
      <text>
        <t>Source: source_register.csv
Decision date: 20 August 2026
Context: Source register row SRC-271.</t>
      </text>
    </comment>
    <comment ref="F279" authorId="0" shapeId="0">
      <text>
        <t>Source: source_register.csv
Decision date: 20 August 2026
Context: Source register row SRC-271.</t>
      </text>
    </comment>
    <comment ref="G279" authorId="0" shapeId="0">
      <text>
        <t>Source: source_register.csv
Decision date: 20 August 2026
Context: Source register row SRC-271.</t>
      </text>
    </comment>
    <comment ref="H279" authorId="0" shapeId="0">
      <text>
        <t>Source: source_register.csv
Decision date: 20 August 2026
Context: Source register row SRC-271.</t>
      </text>
    </comment>
    <comment ref="I279" authorId="0" shapeId="0">
      <text>
        <t>Source: source_register.csv
Decision date: 20 August 2026
Context: Source register row SRC-271.</t>
      </text>
    </comment>
    <comment ref="C280" authorId="0" shapeId="0">
      <text>
        <t>Source: source_register.csv
Decision date: 20 August 2026
Context: Source register row SRC-272.</t>
      </text>
    </comment>
    <comment ref="D280" authorId="0" shapeId="0">
      <text>
        <t>Source: source_register.csv
Decision date: 20 August 2026
Context: Source register row SRC-272.</t>
      </text>
    </comment>
    <comment ref="E280" authorId="0" shapeId="0">
      <text>
        <t>Source: source_register.csv
Decision date: 20 August 2026
Context: Source register row SRC-272.</t>
      </text>
    </comment>
    <comment ref="F280" authorId="0" shapeId="0">
      <text>
        <t>Source: source_register.csv
Decision date: 20 August 2026
Context: Source register row SRC-272.</t>
      </text>
    </comment>
    <comment ref="G280" authorId="0" shapeId="0">
      <text>
        <t>Source: source_register.csv
Decision date: 20 August 2026
Context: Source register row SRC-272.</t>
      </text>
    </comment>
    <comment ref="H280" authorId="0" shapeId="0">
      <text>
        <t>Source: source_register.csv
Decision date: 20 August 2026
Context: Source register row SRC-272.</t>
      </text>
    </comment>
    <comment ref="I280" authorId="0" shapeId="0">
      <text>
        <t>Source: source_register.csv
Decision date: 20 August 2026
Context: Source register row SRC-272.</t>
      </text>
    </comment>
    <comment ref="C281" authorId="0" shapeId="0">
      <text>
        <t>Source: source_register.csv
Decision date: 20 August 2026
Context: Source register row SRC-273.</t>
      </text>
    </comment>
    <comment ref="D281" authorId="0" shapeId="0">
      <text>
        <t>Source: source_register.csv
Decision date: 20 August 2026
Context: Source register row SRC-273.</t>
      </text>
    </comment>
    <comment ref="E281" authorId="0" shapeId="0">
      <text>
        <t>Source: source_register.csv
Decision date: 20 August 2026
Context: Source register row SRC-273.</t>
      </text>
    </comment>
    <comment ref="F281" authorId="0" shapeId="0">
      <text>
        <t>Source: source_register.csv
Decision date: 20 August 2026
Context: Source register row SRC-273.</t>
      </text>
    </comment>
    <comment ref="G281" authorId="0" shapeId="0">
      <text>
        <t>Source: source_register.csv
Decision date: 20 August 2026
Context: Source register row SRC-273.</t>
      </text>
    </comment>
    <comment ref="H281" authorId="0" shapeId="0">
      <text>
        <t>Source: source_register.csv
Decision date: 20 August 2026
Context: Source register row SRC-273.</t>
      </text>
    </comment>
    <comment ref="I281" authorId="0" shapeId="0">
      <text>
        <t>Source: source_register.csv
Decision date: 20 August 2026
Context: Source register row SRC-273.</t>
      </text>
    </comment>
    <comment ref="C282" authorId="0" shapeId="0">
      <text>
        <t>Source: source_register.csv
Decision date: 20 August 2026
Context: Source register row SRC-274.</t>
      </text>
    </comment>
    <comment ref="D282" authorId="0" shapeId="0">
      <text>
        <t>Source: source_register.csv
Decision date: 20 August 2026
Context: Source register row SRC-274.</t>
      </text>
    </comment>
    <comment ref="E282" authorId="0" shapeId="0">
      <text>
        <t>Source: source_register.csv
Decision date: 20 August 2026
Context: Source register row SRC-274.</t>
      </text>
    </comment>
    <comment ref="F282" authorId="0" shapeId="0">
      <text>
        <t>Source: source_register.csv
Decision date: 20 August 2026
Context: Source register row SRC-274.</t>
      </text>
    </comment>
    <comment ref="G282" authorId="0" shapeId="0">
      <text>
        <t>Source: source_register.csv
Decision date: 20 August 2026
Context: Source register row SRC-274.</t>
      </text>
    </comment>
    <comment ref="H282" authorId="0" shapeId="0">
      <text>
        <t>Source: source_register.csv
Decision date: 20 August 2026
Context: Source register row SRC-274.</t>
      </text>
    </comment>
    <comment ref="I282" authorId="0" shapeId="0">
      <text>
        <t>Source: source_register.csv
Decision date: 20 August 2026
Context: Source register row SRC-274.</t>
      </text>
    </comment>
    <comment ref="C283" authorId="0" shapeId="0">
      <text>
        <t>Source: source_register.csv
Decision date: 20 August 2026
Context: Source register row SRC-275.</t>
      </text>
    </comment>
    <comment ref="D283" authorId="0" shapeId="0">
      <text>
        <t>Source: source_register.csv
Decision date: 20 August 2026
Context: Source register row SRC-275.</t>
      </text>
    </comment>
    <comment ref="E283" authorId="0" shapeId="0">
      <text>
        <t>Source: source_register.csv
Decision date: 20 August 2026
Context: Source register row SRC-275.</t>
      </text>
    </comment>
    <comment ref="F283" authorId="0" shapeId="0">
      <text>
        <t>Source: source_register.csv
Decision date: 20 August 2026
Context: Source register row SRC-275.</t>
      </text>
    </comment>
    <comment ref="G283" authorId="0" shapeId="0">
      <text>
        <t>Source: source_register.csv
Decision date: 20 August 2026
Context: Source register row SRC-275.</t>
      </text>
    </comment>
    <comment ref="H283" authorId="0" shapeId="0">
      <text>
        <t>Source: source_register.csv
Decision date: 20 August 2026
Context: Source register row SRC-275.</t>
      </text>
    </comment>
    <comment ref="I283" authorId="0" shapeId="0">
      <text>
        <t>Source: source_register.csv
Decision date: 20 August 2026
Context: Source register row SRC-275.</t>
      </text>
    </comment>
    <comment ref="C284" authorId="0" shapeId="0">
      <text>
        <t>Source: source_register.csv
Decision date: 20 August 2026
Context: Source register row SRC-276.</t>
      </text>
    </comment>
    <comment ref="D284" authorId="0" shapeId="0">
      <text>
        <t>Source: source_register.csv
Decision date: 20 August 2026
Context: Source register row SRC-276.</t>
      </text>
    </comment>
    <comment ref="E284" authorId="0" shapeId="0">
      <text>
        <t>Source: source_register.csv
Decision date: 20 August 2026
Context: Source register row SRC-276.</t>
      </text>
    </comment>
    <comment ref="F284" authorId="0" shapeId="0">
      <text>
        <t>Source: source_register.csv
Decision date: 20 August 2026
Context: Source register row SRC-276.</t>
      </text>
    </comment>
    <comment ref="G284" authorId="0" shapeId="0">
      <text>
        <t>Source: source_register.csv
Decision date: 20 August 2026
Context: Source register row SRC-276.</t>
      </text>
    </comment>
    <comment ref="H284" authorId="0" shapeId="0">
      <text>
        <t>Source: source_register.csv
Decision date: 20 August 2026
Context: Source register row SRC-276.</t>
      </text>
    </comment>
    <comment ref="I284" authorId="0" shapeId="0">
      <text>
        <t>Source: source_register.csv
Decision date: 20 August 2026
Context: Source register row SRC-276.</t>
      </text>
    </comment>
    <comment ref="C285" authorId="0" shapeId="0">
      <text>
        <t>Source: source_register.csv
Decision date: 20 August 2026
Context: Source register row SRC-277.</t>
      </text>
    </comment>
    <comment ref="D285" authorId="0" shapeId="0">
      <text>
        <t>Source: source_register.csv
Decision date: 20 August 2026
Context: Source register row SRC-277.</t>
      </text>
    </comment>
    <comment ref="E285" authorId="0" shapeId="0">
      <text>
        <t>Source: source_register.csv
Decision date: 20 August 2026
Context: Source register row SRC-277.</t>
      </text>
    </comment>
    <comment ref="F285" authorId="0" shapeId="0">
      <text>
        <t>Source: source_register.csv
Decision date: 20 August 2026
Context: Source register row SRC-277.</t>
      </text>
    </comment>
    <comment ref="G285" authorId="0" shapeId="0">
      <text>
        <t>Source: source_register.csv
Decision date: 20 August 2026
Context: Source register row SRC-277.</t>
      </text>
    </comment>
    <comment ref="H285" authorId="0" shapeId="0">
      <text>
        <t>Source: source_register.csv
Decision date: 20 August 2026
Context: Source register row SRC-277.</t>
      </text>
    </comment>
    <comment ref="I285" authorId="0" shapeId="0">
      <text>
        <t>Source: source_register.csv
Decision date: 20 August 2026
Context: Source register row SRC-277.</t>
      </text>
    </comment>
    <comment ref="C286" authorId="0" shapeId="0">
      <text>
        <t>Source: source_register.csv
Decision date: 20 August 2026
Context: Source register row SRC-278.</t>
      </text>
    </comment>
    <comment ref="D286" authorId="0" shapeId="0">
      <text>
        <t>Source: source_register.csv
Decision date: 20 August 2026
Context: Source register row SRC-278.</t>
      </text>
    </comment>
    <comment ref="E286" authorId="0" shapeId="0">
      <text>
        <t>Source: source_register.csv
Decision date: 20 August 2026
Context: Source register row SRC-278.</t>
      </text>
    </comment>
    <comment ref="F286" authorId="0" shapeId="0">
      <text>
        <t>Source: source_register.csv
Decision date: 20 August 2026
Context: Source register row SRC-278.</t>
      </text>
    </comment>
    <comment ref="G286" authorId="0" shapeId="0">
      <text>
        <t>Source: source_register.csv
Decision date: 20 August 2026
Context: Source register row SRC-278.</t>
      </text>
    </comment>
    <comment ref="H286" authorId="0" shapeId="0">
      <text>
        <t>Source: source_register.csv
Decision date: 20 August 2026
Context: Source register row SRC-278.</t>
      </text>
    </comment>
    <comment ref="I286" authorId="0" shapeId="0">
      <text>
        <t>Source: source_register.csv
Decision date: 20 August 2026
Context: Source register row SRC-278.</t>
      </text>
    </comment>
    <comment ref="C287" authorId="0" shapeId="0">
      <text>
        <t>Source: source_register.csv
Decision date: 20 August 2026
Context: Source register row SRC-279.</t>
      </text>
    </comment>
    <comment ref="D287" authorId="0" shapeId="0">
      <text>
        <t>Source: source_register.csv
Decision date: 20 August 2026
Context: Source register row SRC-279.</t>
      </text>
    </comment>
    <comment ref="E287" authorId="0" shapeId="0">
      <text>
        <t>Source: source_register.csv
Decision date: 20 August 2026
Context: Source register row SRC-279.</t>
      </text>
    </comment>
    <comment ref="F287" authorId="0" shapeId="0">
      <text>
        <t>Source: source_register.csv
Decision date: 20 August 2026
Context: Source register row SRC-279.</t>
      </text>
    </comment>
    <comment ref="G287" authorId="0" shapeId="0">
      <text>
        <t>Source: source_register.csv
Decision date: 20 August 2026
Context: Source register row SRC-279.</t>
      </text>
    </comment>
    <comment ref="H287" authorId="0" shapeId="0">
      <text>
        <t>Source: source_register.csv
Decision date: 20 August 2026
Context: Source register row SRC-279.</t>
      </text>
    </comment>
    <comment ref="I287" authorId="0" shapeId="0">
      <text>
        <t>Source: source_register.csv
Decision date: 20 August 2026
Context: Source register row SRC-279.</t>
      </text>
    </comment>
    <comment ref="C288" authorId="0" shapeId="0">
      <text>
        <t>Source: source_register.csv
Decision date: 20 August 2026
Context: Source register row SRC-280.</t>
      </text>
    </comment>
    <comment ref="D288" authorId="0" shapeId="0">
      <text>
        <t>Source: source_register.csv
Decision date: 20 August 2026
Context: Source register row SRC-280.</t>
      </text>
    </comment>
    <comment ref="E288" authorId="0" shapeId="0">
      <text>
        <t>Source: source_register.csv
Decision date: 20 August 2026
Context: Source register row SRC-280.</t>
      </text>
    </comment>
    <comment ref="F288" authorId="0" shapeId="0">
      <text>
        <t>Source: source_register.csv
Decision date: 20 August 2026
Context: Source register row SRC-280.</t>
      </text>
    </comment>
    <comment ref="G288" authorId="0" shapeId="0">
      <text>
        <t>Source: source_register.csv
Decision date: 20 August 2026
Context: Source register row SRC-280.</t>
      </text>
    </comment>
    <comment ref="H288" authorId="0" shapeId="0">
      <text>
        <t>Source: source_register.csv
Decision date: 20 August 2026
Context: Source register row SRC-280.</t>
      </text>
    </comment>
    <comment ref="I288" authorId="0" shapeId="0">
      <text>
        <t>Source: source_register.csv
Decision date: 20 August 2026
Context: Source register row SRC-280.</t>
      </text>
    </comment>
    <comment ref="C289" authorId="0" shapeId="0">
      <text>
        <t>Source: source_register.csv
Decision date: 20 August 2026
Context: Source register row SRC-281.</t>
      </text>
    </comment>
    <comment ref="D289" authorId="0" shapeId="0">
      <text>
        <t>Source: source_register.csv
Decision date: 20 August 2026
Context: Source register row SRC-281.</t>
      </text>
    </comment>
    <comment ref="E289" authorId="0" shapeId="0">
      <text>
        <t>Source: source_register.csv
Decision date: 20 August 2026
Context: Source register row SRC-281.</t>
      </text>
    </comment>
    <comment ref="F289" authorId="0" shapeId="0">
      <text>
        <t>Source: source_register.csv
Decision date: 20 August 2026
Context: Source register row SRC-281.</t>
      </text>
    </comment>
    <comment ref="G289" authorId="0" shapeId="0">
      <text>
        <t>Source: source_register.csv
Decision date: 20 August 2026
Context: Source register row SRC-281.</t>
      </text>
    </comment>
    <comment ref="H289" authorId="0" shapeId="0">
      <text>
        <t>Source: source_register.csv
Decision date: 20 August 2026
Context: Source register row SRC-281.</t>
      </text>
    </comment>
    <comment ref="I289" authorId="0" shapeId="0">
      <text>
        <t>Source: source_register.csv
Decision date: 20 August 2026
Context: Source register row SRC-281.</t>
      </text>
    </comment>
    <comment ref="C290" authorId="0" shapeId="0">
      <text>
        <t>Source: source_register.csv
Decision date: 20 August 2026
Context: Source register row SRC-282.</t>
      </text>
    </comment>
    <comment ref="D290" authorId="0" shapeId="0">
      <text>
        <t>Source: source_register.csv
Decision date: 20 August 2026
Context: Source register row SRC-282.</t>
      </text>
    </comment>
    <comment ref="E290" authorId="0" shapeId="0">
      <text>
        <t>Source: source_register.csv
Decision date: 20 August 2026
Context: Source register row SRC-282.</t>
      </text>
    </comment>
    <comment ref="F290" authorId="0" shapeId="0">
      <text>
        <t>Source: source_register.csv
Decision date: 20 August 2026
Context: Source register row SRC-282.</t>
      </text>
    </comment>
    <comment ref="G290" authorId="0" shapeId="0">
      <text>
        <t>Source: source_register.csv
Decision date: 20 August 2026
Context: Source register row SRC-282.</t>
      </text>
    </comment>
    <comment ref="H290" authorId="0" shapeId="0">
      <text>
        <t>Source: source_register.csv
Decision date: 20 August 2026
Context: Source register row SRC-282.</t>
      </text>
    </comment>
    <comment ref="I290" authorId="0" shapeId="0">
      <text>
        <t>Source: source_register.csv
Decision date: 20 August 2026
Context: Source register row SRC-282.</t>
      </text>
    </comment>
    <comment ref="C291" authorId="0" shapeId="0">
      <text>
        <t>Source: source_register.csv
Decision date: 20 August 2026
Context: Source register row SRC-283.</t>
      </text>
    </comment>
    <comment ref="D291" authorId="0" shapeId="0">
      <text>
        <t>Source: source_register.csv
Decision date: 20 August 2026
Context: Source register row SRC-283.</t>
      </text>
    </comment>
    <comment ref="E291" authorId="0" shapeId="0">
      <text>
        <t>Source: source_register.csv
Decision date: 20 August 2026
Context: Source register row SRC-283.</t>
      </text>
    </comment>
    <comment ref="F291" authorId="0" shapeId="0">
      <text>
        <t>Source: source_register.csv
Decision date: 20 August 2026
Context: Source register row SRC-283.</t>
      </text>
    </comment>
    <comment ref="G291" authorId="0" shapeId="0">
      <text>
        <t>Source: source_register.csv
Decision date: 20 August 2026
Context: Source register row SRC-283.</t>
      </text>
    </comment>
    <comment ref="H291" authorId="0" shapeId="0">
      <text>
        <t>Source: source_register.csv
Decision date: 20 August 2026
Context: Source register row SRC-283.</t>
      </text>
    </comment>
    <comment ref="I291" authorId="0" shapeId="0">
      <text>
        <t>Source: source_register.csv
Decision date: 20 August 2026
Context: Source register row SRC-283.</t>
      </text>
    </comment>
    <comment ref="C292" authorId="0" shapeId="0">
      <text>
        <t>Source: source_register.csv
Decision date: 20 August 2026
Context: Source register row SRC-284.</t>
      </text>
    </comment>
    <comment ref="D292" authorId="0" shapeId="0">
      <text>
        <t>Source: source_register.csv
Decision date: 20 August 2026
Context: Source register row SRC-284.</t>
      </text>
    </comment>
    <comment ref="E292" authorId="0" shapeId="0">
      <text>
        <t>Source: source_register.csv
Decision date: 20 August 2026
Context: Source register row SRC-284.</t>
      </text>
    </comment>
    <comment ref="F292" authorId="0" shapeId="0">
      <text>
        <t>Source: source_register.csv
Decision date: 20 August 2026
Context: Source register row SRC-284.</t>
      </text>
    </comment>
    <comment ref="G292" authorId="0" shapeId="0">
      <text>
        <t>Source: source_register.csv
Decision date: 20 August 2026
Context: Source register row SRC-284.</t>
      </text>
    </comment>
    <comment ref="H292" authorId="0" shapeId="0">
      <text>
        <t>Source: source_register.csv
Decision date: 20 August 2026
Context: Source register row SRC-284.</t>
      </text>
    </comment>
    <comment ref="I292" authorId="0" shapeId="0">
      <text>
        <t>Source: source_register.csv
Decision date: 20 August 2026
Context: Source register row SRC-284.</t>
      </text>
    </comment>
    <comment ref="C293" authorId="0" shapeId="0">
      <text>
        <t>Source: source_register.csv
Decision date: 20 August 2026
Context: Source register row SRC-285.</t>
      </text>
    </comment>
    <comment ref="D293" authorId="0" shapeId="0">
      <text>
        <t>Source: source_register.csv
Decision date: 20 August 2026
Context: Source register row SRC-285.</t>
      </text>
    </comment>
    <comment ref="E293" authorId="0" shapeId="0">
      <text>
        <t>Source: source_register.csv
Decision date: 20 August 2026
Context: Source register row SRC-285.</t>
      </text>
    </comment>
    <comment ref="F293" authorId="0" shapeId="0">
      <text>
        <t>Source: source_register.csv
Decision date: 20 August 2026
Context: Source register row SRC-285.</t>
      </text>
    </comment>
    <comment ref="G293" authorId="0" shapeId="0">
      <text>
        <t>Source: source_register.csv
Decision date: 20 August 2026
Context: Source register row SRC-285.</t>
      </text>
    </comment>
    <comment ref="H293" authorId="0" shapeId="0">
      <text>
        <t>Source: source_register.csv
Decision date: 20 August 2026
Context: Source register row SRC-285.</t>
      </text>
    </comment>
    <comment ref="I293" authorId="0" shapeId="0">
      <text>
        <t>Source: source_register.csv
Decision date: 20 August 2026
Context: Source register row SRC-285.</t>
      </text>
    </comment>
    <comment ref="C294" authorId="0" shapeId="0">
      <text>
        <t>Source: source_register.csv
Decision date: 20 August 2026
Context: Source register row SRC-286.</t>
      </text>
    </comment>
    <comment ref="D294" authorId="0" shapeId="0">
      <text>
        <t>Source: source_register.csv
Decision date: 20 August 2026
Context: Source register row SRC-286.</t>
      </text>
    </comment>
    <comment ref="E294" authorId="0" shapeId="0">
      <text>
        <t>Source: source_register.csv
Decision date: 20 August 2026
Context: Source register row SRC-286.</t>
      </text>
    </comment>
    <comment ref="F294" authorId="0" shapeId="0">
      <text>
        <t>Source: source_register.csv
Decision date: 20 August 2026
Context: Source register row SRC-286.</t>
      </text>
    </comment>
    <comment ref="G294" authorId="0" shapeId="0">
      <text>
        <t>Source: source_register.csv
Decision date: 20 August 2026
Context: Source register row SRC-286.</t>
      </text>
    </comment>
    <comment ref="H294" authorId="0" shapeId="0">
      <text>
        <t>Source: source_register.csv
Decision date: 20 August 2026
Context: Source register row SRC-286.</t>
      </text>
    </comment>
    <comment ref="I294" authorId="0" shapeId="0">
      <text>
        <t>Source: source_register.csv
Decision date: 20 August 2026
Context: Source register row SRC-286.</t>
      </text>
    </comment>
    <comment ref="C295" authorId="0" shapeId="0">
      <text>
        <t>Source: source_register.csv
Decision date: 20 August 2026
Context: Source register row SRC-287.</t>
      </text>
    </comment>
    <comment ref="D295" authorId="0" shapeId="0">
      <text>
        <t>Source: source_register.csv
Decision date: 20 August 2026
Context: Source register row SRC-287.</t>
      </text>
    </comment>
    <comment ref="E295" authorId="0" shapeId="0">
      <text>
        <t>Source: source_register.csv
Decision date: 20 August 2026
Context: Source register row SRC-287.</t>
      </text>
    </comment>
    <comment ref="F295" authorId="0" shapeId="0">
      <text>
        <t>Source: source_register.csv
Decision date: 20 August 2026
Context: Source register row SRC-287.</t>
      </text>
    </comment>
    <comment ref="G295" authorId="0" shapeId="0">
      <text>
        <t>Source: source_register.csv
Decision date: 20 August 2026
Context: Source register row SRC-287.</t>
      </text>
    </comment>
    <comment ref="H295" authorId="0" shapeId="0">
      <text>
        <t>Source: source_register.csv
Decision date: 20 August 2026
Context: Source register row SRC-287.</t>
      </text>
    </comment>
    <comment ref="I295" authorId="0" shapeId="0">
      <text>
        <t>Source: source_register.csv
Decision date: 20 August 2026
Context: Source register row SRC-287.</t>
      </text>
    </comment>
    <comment ref="C296" authorId="0" shapeId="0">
      <text>
        <t>Source: source_register.csv
Decision date: 20 August 2026
Context: Source register row SRC-288.</t>
      </text>
    </comment>
    <comment ref="D296" authorId="0" shapeId="0">
      <text>
        <t>Source: source_register.csv
Decision date: 20 August 2026
Context: Source register row SRC-288.</t>
      </text>
    </comment>
    <comment ref="E296" authorId="0" shapeId="0">
      <text>
        <t>Source: source_register.csv
Decision date: 20 August 2026
Context: Source register row SRC-288.</t>
      </text>
    </comment>
    <comment ref="F296" authorId="0" shapeId="0">
      <text>
        <t>Source: source_register.csv
Decision date: 20 August 2026
Context: Source register row SRC-288.</t>
      </text>
    </comment>
    <comment ref="G296" authorId="0" shapeId="0">
      <text>
        <t>Source: source_register.csv
Decision date: 20 August 2026
Context: Source register row SRC-288.</t>
      </text>
    </comment>
    <comment ref="H296" authorId="0" shapeId="0">
      <text>
        <t>Source: source_register.csv
Decision date: 20 August 2026
Context: Source register row SRC-288.</t>
      </text>
    </comment>
    <comment ref="I296" authorId="0" shapeId="0">
      <text>
        <t>Source: source_register.csv
Decision date: 20 August 2026
Context: Source register row SRC-288.</t>
      </text>
    </comment>
    <comment ref="C297" authorId="0" shapeId="0">
      <text>
        <t>Source: source_register.csv
Decision date: 20 August 2026
Context: Source register row SRC-289.</t>
      </text>
    </comment>
    <comment ref="D297" authorId="0" shapeId="0">
      <text>
        <t>Source: source_register.csv
Decision date: 20 August 2026
Context: Source register row SRC-289.</t>
      </text>
    </comment>
    <comment ref="E297" authorId="0" shapeId="0">
      <text>
        <t>Source: source_register.csv
Decision date: 20 August 2026
Context: Source register row SRC-289.</t>
      </text>
    </comment>
    <comment ref="F297" authorId="0" shapeId="0">
      <text>
        <t>Source: source_register.csv
Decision date: 20 August 2026
Context: Source register row SRC-289.</t>
      </text>
    </comment>
    <comment ref="G297" authorId="0" shapeId="0">
      <text>
        <t>Source: source_register.csv
Decision date: 20 August 2026
Context: Source register row SRC-289.</t>
      </text>
    </comment>
    <comment ref="H297" authorId="0" shapeId="0">
      <text>
        <t>Source: source_register.csv
Decision date: 20 August 2026
Context: Source register row SRC-289.</t>
      </text>
    </comment>
    <comment ref="I297" authorId="0" shapeId="0">
      <text>
        <t>Source: source_register.csv
Decision date: 20 August 2026
Context: Source register row SRC-289.</t>
      </text>
    </comment>
    <comment ref="C298" authorId="0" shapeId="0">
      <text>
        <t>Source: source_register.csv
Decision date: 20 August 2026
Context: Source register row SRC-290.</t>
      </text>
    </comment>
    <comment ref="D298" authorId="0" shapeId="0">
      <text>
        <t>Source: source_register.csv
Decision date: 20 August 2026
Context: Source register row SRC-290.</t>
      </text>
    </comment>
    <comment ref="E298" authorId="0" shapeId="0">
      <text>
        <t>Source: source_register.csv
Decision date: 20 August 2026
Context: Source register row SRC-290.</t>
      </text>
    </comment>
    <comment ref="F298" authorId="0" shapeId="0">
      <text>
        <t>Source: source_register.csv
Decision date: 20 August 2026
Context: Source register row SRC-290.</t>
      </text>
    </comment>
    <comment ref="G298" authorId="0" shapeId="0">
      <text>
        <t>Source: source_register.csv
Decision date: 20 August 2026
Context: Source register row SRC-290.</t>
      </text>
    </comment>
    <comment ref="H298" authorId="0" shapeId="0">
      <text>
        <t>Source: source_register.csv
Decision date: 20 August 2026
Context: Source register row SRC-290.</t>
      </text>
    </comment>
    <comment ref="I298" authorId="0" shapeId="0">
      <text>
        <t>Source: source_register.csv
Decision date: 20 August 2026
Context: Source register row SRC-290.</t>
      </text>
    </comment>
    <comment ref="C299" authorId="0" shapeId="0">
      <text>
        <t>Source: source_register.csv
Decision date: 20 August 2026
Context: Source register row SRC-291.</t>
      </text>
    </comment>
    <comment ref="D299" authorId="0" shapeId="0">
      <text>
        <t>Source: source_register.csv
Decision date: 20 August 2026
Context: Source register row SRC-291.</t>
      </text>
    </comment>
    <comment ref="E299" authorId="0" shapeId="0">
      <text>
        <t>Source: source_register.csv
Decision date: 20 August 2026
Context: Source register row SRC-291.</t>
      </text>
    </comment>
    <comment ref="F299" authorId="0" shapeId="0">
      <text>
        <t>Source: source_register.csv
Decision date: 20 August 2026
Context: Source register row SRC-291.</t>
      </text>
    </comment>
    <comment ref="G299" authorId="0" shapeId="0">
      <text>
        <t>Source: source_register.csv
Decision date: 20 August 2026
Context: Source register row SRC-291.</t>
      </text>
    </comment>
    <comment ref="H299" authorId="0" shapeId="0">
      <text>
        <t>Source: source_register.csv
Decision date: 20 August 2026
Context: Source register row SRC-291.</t>
      </text>
    </comment>
    <comment ref="I299" authorId="0" shapeId="0">
      <text>
        <t>Source: source_register.csv
Decision date: 20 August 2026
Context: Source register row SRC-291.</t>
      </text>
    </comment>
    <comment ref="C300" authorId="0" shapeId="0">
      <text>
        <t>Source: source_register.csv
Decision date: 20 August 2026
Context: Source register row SRC-292.</t>
      </text>
    </comment>
    <comment ref="D300" authorId="0" shapeId="0">
      <text>
        <t>Source: source_register.csv
Decision date: 20 August 2026
Context: Source register row SRC-292.</t>
      </text>
    </comment>
    <comment ref="E300" authorId="0" shapeId="0">
      <text>
        <t>Source: source_register.csv
Decision date: 20 August 2026
Context: Source register row SRC-292.</t>
      </text>
    </comment>
    <comment ref="F300" authorId="0" shapeId="0">
      <text>
        <t>Source: source_register.csv
Decision date: 20 August 2026
Context: Source register row SRC-292.</t>
      </text>
    </comment>
    <comment ref="G300" authorId="0" shapeId="0">
      <text>
        <t>Source: source_register.csv
Decision date: 20 August 2026
Context: Source register row SRC-292.</t>
      </text>
    </comment>
    <comment ref="H300" authorId="0" shapeId="0">
      <text>
        <t>Source: source_register.csv
Decision date: 20 August 2026
Context: Source register row SRC-292.</t>
      </text>
    </comment>
    <comment ref="I300" authorId="0" shapeId="0">
      <text>
        <t>Source: source_register.csv
Decision date: 20 August 2026
Context: Source register row SRC-292.</t>
      </text>
    </comment>
    <comment ref="C301" authorId="0" shapeId="0">
      <text>
        <t>Source: source_register.csv
Decision date: 20 August 2026
Context: Source register row SRC-293.</t>
      </text>
    </comment>
    <comment ref="D301" authorId="0" shapeId="0">
      <text>
        <t>Source: source_register.csv
Decision date: 20 August 2026
Context: Source register row SRC-293.</t>
      </text>
    </comment>
    <comment ref="E301" authorId="0" shapeId="0">
      <text>
        <t>Source: source_register.csv
Decision date: 20 August 2026
Context: Source register row SRC-293.</t>
      </text>
    </comment>
    <comment ref="F301" authorId="0" shapeId="0">
      <text>
        <t>Source: source_register.csv
Decision date: 20 August 2026
Context: Source register row SRC-293.</t>
      </text>
    </comment>
    <comment ref="G301" authorId="0" shapeId="0">
      <text>
        <t>Source: source_register.csv
Decision date: 20 August 2026
Context: Source register row SRC-293.</t>
      </text>
    </comment>
    <comment ref="H301" authorId="0" shapeId="0">
      <text>
        <t>Source: source_register.csv
Decision date: 20 August 2026
Context: Source register row SRC-293.</t>
      </text>
    </comment>
    <comment ref="I301" authorId="0" shapeId="0">
      <text>
        <t>Source: source_register.csv
Decision date: 20 August 2026
Context: Source register row SRC-293.</t>
      </text>
    </comment>
    <comment ref="C302" authorId="0" shapeId="0">
      <text>
        <t>Source: source_register.csv
Decision date: 20 August 2026
Context: Source register row SRC-294.</t>
      </text>
    </comment>
    <comment ref="D302" authorId="0" shapeId="0">
      <text>
        <t>Source: source_register.csv
Decision date: 20 August 2026
Context: Source register row SRC-294.</t>
      </text>
    </comment>
    <comment ref="E302" authorId="0" shapeId="0">
      <text>
        <t>Source: source_register.csv
Decision date: 20 August 2026
Context: Source register row SRC-294.</t>
      </text>
    </comment>
    <comment ref="F302" authorId="0" shapeId="0">
      <text>
        <t>Source: source_register.csv
Decision date: 20 August 2026
Context: Source register row SRC-294.</t>
      </text>
    </comment>
    <comment ref="G302" authorId="0" shapeId="0">
      <text>
        <t>Source: source_register.csv
Decision date: 20 August 2026
Context: Source register row SRC-294.</t>
      </text>
    </comment>
    <comment ref="H302" authorId="0" shapeId="0">
      <text>
        <t>Source: source_register.csv
Decision date: 20 August 2026
Context: Source register row SRC-294.</t>
      </text>
    </comment>
    <comment ref="I302" authorId="0" shapeId="0">
      <text>
        <t>Source: source_register.csv
Decision date: 20 August 2026
Context: Source register row SRC-294.</t>
      </text>
    </comment>
    <comment ref="C303" authorId="0" shapeId="0">
      <text>
        <t>Source: source_register.csv
Decision date: 20 August 2026
Context: Source register row SRC-295.</t>
      </text>
    </comment>
    <comment ref="D303" authorId="0" shapeId="0">
      <text>
        <t>Source: source_register.csv
Decision date: 20 August 2026
Context: Source register row SRC-295.</t>
      </text>
    </comment>
    <comment ref="E303" authorId="0" shapeId="0">
      <text>
        <t>Source: source_register.csv
Decision date: 20 August 2026
Context: Source register row SRC-295.</t>
      </text>
    </comment>
    <comment ref="F303" authorId="0" shapeId="0">
      <text>
        <t>Source: source_register.csv
Decision date: 20 August 2026
Context: Source register row SRC-295.</t>
      </text>
    </comment>
    <comment ref="G303" authorId="0" shapeId="0">
      <text>
        <t>Source: source_register.csv
Decision date: 20 August 2026
Context: Source register row SRC-295.</t>
      </text>
    </comment>
    <comment ref="H303" authorId="0" shapeId="0">
      <text>
        <t>Source: source_register.csv
Decision date: 20 August 2026
Context: Source register row SRC-295.</t>
      </text>
    </comment>
    <comment ref="I303" authorId="0" shapeId="0">
      <text>
        <t>Source: source_register.csv
Decision date: 20 August 2026
Context: Source register row SRC-295.</t>
      </text>
    </comment>
    <comment ref="C304" authorId="0" shapeId="0">
      <text>
        <t>Source: source_register.csv
Decision date: 20 August 2026
Context: Source register row SRC-296.</t>
      </text>
    </comment>
    <comment ref="D304" authorId="0" shapeId="0">
      <text>
        <t>Source: source_register.csv
Decision date: 20 August 2026
Context: Source register row SRC-296.</t>
      </text>
    </comment>
    <comment ref="E304" authorId="0" shapeId="0">
      <text>
        <t>Source: source_register.csv
Decision date: 20 August 2026
Context: Source register row SRC-296.</t>
      </text>
    </comment>
    <comment ref="F304" authorId="0" shapeId="0">
      <text>
        <t>Source: source_register.csv
Decision date: 20 August 2026
Context: Source register row SRC-296.</t>
      </text>
    </comment>
    <comment ref="G304" authorId="0" shapeId="0">
      <text>
        <t>Source: source_register.csv
Decision date: 20 August 2026
Context: Source register row SRC-296.</t>
      </text>
    </comment>
    <comment ref="H304" authorId="0" shapeId="0">
      <text>
        <t>Source: source_register.csv
Decision date: 20 August 2026
Context: Source register row SRC-296.</t>
      </text>
    </comment>
    <comment ref="I304" authorId="0" shapeId="0">
      <text>
        <t>Source: source_register.csv
Decision date: 20 August 2026
Context: Source register row SRC-296.</t>
      </text>
    </comment>
    <comment ref="C305" authorId="0" shapeId="0">
      <text>
        <t>Source: source_register.csv
Decision date: 20 August 2026
Context: Source register row SRC-297.</t>
      </text>
    </comment>
    <comment ref="D305" authorId="0" shapeId="0">
      <text>
        <t>Source: source_register.csv
Decision date: 20 August 2026
Context: Source register row SRC-297.</t>
      </text>
    </comment>
    <comment ref="E305" authorId="0" shapeId="0">
      <text>
        <t>Source: source_register.csv
Decision date: 20 August 2026
Context: Source register row SRC-297.</t>
      </text>
    </comment>
    <comment ref="F305" authorId="0" shapeId="0">
      <text>
        <t>Source: source_register.csv
Decision date: 20 August 2026
Context: Source register row SRC-297.</t>
      </text>
    </comment>
    <comment ref="G305" authorId="0" shapeId="0">
      <text>
        <t>Source: source_register.csv
Decision date: 20 August 2026
Context: Source register row SRC-297.</t>
      </text>
    </comment>
    <comment ref="H305" authorId="0" shapeId="0">
      <text>
        <t>Source: source_register.csv
Decision date: 20 August 2026
Context: Source register row SRC-297.</t>
      </text>
    </comment>
    <comment ref="I305" authorId="0" shapeId="0">
      <text>
        <t>Source: source_register.csv
Decision date: 20 August 2026
Context: Source register row SRC-297.</t>
      </text>
    </comment>
    <comment ref="C306" authorId="0" shapeId="0">
      <text>
        <t>Source: source_register.csv
Decision date: 20 August 2026
Context: Source register row SRC-298.</t>
      </text>
    </comment>
    <comment ref="D306" authorId="0" shapeId="0">
      <text>
        <t>Source: source_register.csv
Decision date: 20 August 2026
Context: Source register row SRC-298.</t>
      </text>
    </comment>
    <comment ref="E306" authorId="0" shapeId="0">
      <text>
        <t>Source: source_register.csv
Decision date: 20 August 2026
Context: Source register row SRC-298.</t>
      </text>
    </comment>
    <comment ref="F306" authorId="0" shapeId="0">
      <text>
        <t>Source: source_register.csv
Decision date: 20 August 2026
Context: Source register row SRC-298.</t>
      </text>
    </comment>
    <comment ref="G306" authorId="0" shapeId="0">
      <text>
        <t>Source: source_register.csv
Decision date: 20 August 2026
Context: Source register row SRC-298.</t>
      </text>
    </comment>
    <comment ref="H306" authorId="0" shapeId="0">
      <text>
        <t>Source: source_register.csv
Decision date: 20 August 2026
Context: Source register row SRC-298.</t>
      </text>
    </comment>
    <comment ref="I306" authorId="0" shapeId="0">
      <text>
        <t>Source: source_register.csv
Decision date: 20 August 2026
Context: Source register row SRC-298.</t>
      </text>
    </comment>
    <comment ref="C307" authorId="0" shapeId="0">
      <text>
        <t>Source: source_register.csv
Decision date: 20 August 2026
Context: Source register row SRC-299.</t>
      </text>
    </comment>
    <comment ref="D307" authorId="0" shapeId="0">
      <text>
        <t>Source: source_register.csv
Decision date: 20 August 2026
Context: Source register row SRC-299.</t>
      </text>
    </comment>
    <comment ref="E307" authorId="0" shapeId="0">
      <text>
        <t>Source: source_register.csv
Decision date: 20 August 2026
Context: Source register row SRC-299.</t>
      </text>
    </comment>
    <comment ref="F307" authorId="0" shapeId="0">
      <text>
        <t>Source: source_register.csv
Decision date: 20 August 2026
Context: Source register row SRC-299.</t>
      </text>
    </comment>
    <comment ref="G307" authorId="0" shapeId="0">
      <text>
        <t>Source: source_register.csv
Decision date: 20 August 2026
Context: Source register row SRC-299.</t>
      </text>
    </comment>
    <comment ref="H307" authorId="0" shapeId="0">
      <text>
        <t>Source: source_register.csv
Decision date: 20 August 2026
Context: Source register row SRC-299.</t>
      </text>
    </comment>
    <comment ref="I307" authorId="0" shapeId="0">
      <text>
        <t>Source: source_register.csv
Decision date: 20 August 2026
Context: Source register row SRC-299.</t>
      </text>
    </comment>
    <comment ref="C308" authorId="0" shapeId="0">
      <text>
        <t>Source: source_register.csv
Decision date: 20 August 2026
Context: Source register row SRC-300.</t>
      </text>
    </comment>
    <comment ref="D308" authorId="0" shapeId="0">
      <text>
        <t>Source: source_register.csv
Decision date: 20 August 2026
Context: Source register row SRC-300.</t>
      </text>
    </comment>
    <comment ref="E308" authorId="0" shapeId="0">
      <text>
        <t>Source: source_register.csv
Decision date: 20 August 2026
Context: Source register row SRC-300.</t>
      </text>
    </comment>
    <comment ref="F308" authorId="0" shapeId="0">
      <text>
        <t>Source: source_register.csv
Decision date: 20 August 2026
Context: Source register row SRC-300.</t>
      </text>
    </comment>
    <comment ref="G308" authorId="0" shapeId="0">
      <text>
        <t>Source: source_register.csv
Decision date: 20 August 2026
Context: Source register row SRC-300.</t>
      </text>
    </comment>
    <comment ref="H308" authorId="0" shapeId="0">
      <text>
        <t>Source: source_register.csv
Decision date: 20 August 2026
Context: Source register row SRC-300.</t>
      </text>
    </comment>
    <comment ref="I308" authorId="0" shapeId="0">
      <text>
        <t>Source: source_register.csv
Decision date: 20 August 2026
Context: Source register row SRC-300.</t>
      </text>
    </comment>
    <comment ref="C309" authorId="0" shapeId="0">
      <text>
        <t>Source: source_register.csv
Decision date: 20 August 2026
Context: Source register row SRC-301.</t>
      </text>
    </comment>
    <comment ref="D309" authorId="0" shapeId="0">
      <text>
        <t>Source: source_register.csv
Decision date: 20 August 2026
Context: Source register row SRC-301.</t>
      </text>
    </comment>
    <comment ref="E309" authorId="0" shapeId="0">
      <text>
        <t>Source: source_register.csv
Decision date: 20 August 2026
Context: Source register row SRC-301.</t>
      </text>
    </comment>
    <comment ref="F309" authorId="0" shapeId="0">
      <text>
        <t>Source: source_register.csv
Decision date: 20 August 2026
Context: Source register row SRC-301.</t>
      </text>
    </comment>
    <comment ref="G309" authorId="0" shapeId="0">
      <text>
        <t>Source: source_register.csv
Decision date: 20 August 2026
Context: Source register row SRC-301.</t>
      </text>
    </comment>
    <comment ref="H309" authorId="0" shapeId="0">
      <text>
        <t>Source: source_register.csv
Decision date: 20 August 2026
Context: Source register row SRC-301.</t>
      </text>
    </comment>
    <comment ref="I309" authorId="0" shapeId="0">
      <text>
        <t>Source: source_register.csv
Decision date: 20 August 2026
Context: Source register row SRC-301.</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22</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nufacturer Screen'!C3" TargetMode="External" Id="rId1"/><Relationship Type="http://schemas.openxmlformats.org/officeDocument/2006/relationships/hyperlink" Target="#'Laboratory Screen'!C3" TargetMode="External" Id="rId2"/><Relationship Type="http://schemas.openxmlformats.org/officeDocument/2006/relationships/hyperlink" Target="#'RFI Tracker'!C3" TargetMode="External" Id="rId3"/><Relationship Type="http://schemas.openxmlformats.org/officeDocument/2006/relationships/hyperlink" Target="#'90-Day Plan'!C3" TargetMode="External" Id="rId4"/><Relationship Type="http://schemas.openxmlformats.org/officeDocument/2006/relationships/hyperlink" Target="#'Risk &amp; No-Go'!C3" TargetMode="External" Id="rId5"/><Relationship Type="http://schemas.openxmlformats.org/officeDocument/2006/relationships/hyperlink" Target="#'Source Register'!C3" TargetMode="External" Id="rId6"/><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hyperlink" Target="https://www.fda.gov/drugs/drug-approvals-and-databases/drug-establishments-current-registration-site-decrs" TargetMode="External" Id="rId1"/><Relationship Type="http://schemas.openxmlformats.org/officeDocument/2006/relationships/hyperlink" Target="https://tides.wuxiapptec.com/" TargetMode="External" Id="rId2"/><Relationship Type="http://schemas.openxmlformats.org/officeDocument/2006/relationships/hyperlink" Target="https://tides.wuxiapptec.com/wuxi-apptecs-changzhou-and-taixing-api-sites-successfully-pass-fda-inspections/" TargetMode="External" Id="rId3"/><Relationship Type="http://schemas.openxmlformats.org/officeDocument/2006/relationships/hyperlink" Target="https://www.sinopep.com/quotation/gmp-peptides/" TargetMode="External" Id="rId4"/><Relationship Type="http://schemas.openxmlformats.org/officeDocument/2006/relationships/hyperlink" Target="https://www.fda.gov/media/190915/download" TargetMode="External" Id="rId5"/><Relationship Type="http://schemas.openxmlformats.org/officeDocument/2006/relationships/hyperlink" Target="https://www.fda.gov/media/183518/download" TargetMode="External" Id="rId6"/><Relationship Type="http://schemas.openxmlformats.org/officeDocument/2006/relationships/hyperlink" Target="https://www.hybio.com/about-us/" TargetMode="External" Id="rId7"/><Relationship Type="http://schemas.openxmlformats.org/officeDocument/2006/relationships/hyperlink" Target="https://www.fda.gov/media/148286/download" TargetMode="External" Id="rId8"/><Relationship Type="http://schemas.openxmlformats.org/officeDocument/2006/relationships/hyperlink" Target="https://cpcscientific.com/custom-peptide-synthesis/cgmp-peptide-manufacturing/" TargetMode="External" Id="rId9"/><Relationship Type="http://schemas.openxmlformats.org/officeDocument/2006/relationships/hyperlink" Target="https://www.fda.gov/media/178556/download" TargetMode="External" Id="rId10"/><Relationship Type="http://schemas.openxmlformats.org/officeDocument/2006/relationships/hyperlink" Target="https://www.fda.gov/media/181469/download" TargetMode="External" Id="rId11"/><Relationship Type="http://schemas.openxmlformats.org/officeDocument/2006/relationships/hyperlink" Target="https://www.piramalpharmasolutions.com/specialized-offerings/peptides-api" TargetMode="External" Id="rId12"/><Relationship Type="http://schemas.openxmlformats.org/officeDocument/2006/relationships/hyperlink" Target="https://shilpapharma.com/peptide-cdmo-services/" TargetMode="External" Id="rId13"/><Relationship Type="http://schemas.openxmlformats.org/officeDocument/2006/relationships/hyperlink" Target="https://peptistar.com/en/company/message/" TargetMode="External" Id="rId14"/><Relationship Type="http://schemas.openxmlformats.org/officeDocument/2006/relationships/hyperlink" Target="https://www.amed.go.jp/en/news/release_20191206.html" TargetMode="External" Id="rId15"/><Relationship Type="http://schemas.openxmlformats.org/officeDocument/2006/relationships/hyperlink" Target="https://ajibio-pharma.ajinomoto.com/" TargetMode="External" Id="rId16"/><Relationship Type="http://schemas.openxmlformats.org/officeDocument/2006/relationships/hyperlink" Target="https://hlbpep.co.kr/eng/peptides/gmp.php" TargetMode="External" Id="rId17"/><Relationship Type="http://schemas.openxmlformats.org/officeDocument/2006/relationships/hyperlink" Target="https://www.scinopharm.com/solutions/SPTCMC/" TargetMode="External" Id="rId18"/><Relationship Type="http://schemas.openxmlformats.org/officeDocument/2006/relationships/hyperlink" Target="https://www.scinopharm.com/news-detail/113/" TargetMode="External" Id="rId19"/><Relationship Type="http://schemas.openxmlformats.org/officeDocument/2006/relationships/hyperlink" Target="https://www.sgs.com/en-us/news/2024/10/shanghai-health-science-lab-passes-us-fda-inspection" TargetMode="External" Id="rId20"/><Relationship Type="http://schemas.openxmlformats.org/officeDocument/2006/relationships/hyperlink" Target="https://www.sgsgroup.com.cn/en-cn/services/pharmaceutical-microbiology-testing" TargetMode="External" Id="rId21"/><Relationship Type="http://schemas.openxmlformats.org/officeDocument/2006/relationships/hyperlink" Target="https://location.eurofins.com/en/ele/eurofins-analytical-science-laboratories-inc/" TargetMode="External" Id="rId22"/><Relationship Type="http://schemas.openxmlformats.org/officeDocument/2006/relationships/hyperlink" Target="https://www.eurofins.com/en/media-centre/press-releases/2018-05-22/" TargetMode="External" Id="rId23"/><Relationship Type="http://schemas.openxmlformats.org/officeDocument/2006/relationships/hyperlink" Target="https://vimta.com/wp-content/uploads/2026/05/Latest-NABL-Certificate-2026.pdf" TargetMode="External" Id="rId24"/><Relationship Type="http://schemas.openxmlformats.org/officeDocument/2006/relationships/hyperlink" Target="https://vimta.com/wp-content/uploads/2026/05/DCA-Licence-Renewal.pdf" TargetMode="External" Id="rId25"/><Relationship Type="http://schemas.openxmlformats.org/officeDocument/2006/relationships/hyperlink" Target="https://vimta.com/about-us/accreditations/" TargetMode="External" Id="rId26"/><Relationship Type="http://schemas.openxmlformats.org/officeDocument/2006/relationships/hyperlink" Target="https://www.intertek.com/pharmaceutical/mumbai-india/" TargetMode="External" Id="rId27"/><Relationship Type="http://schemas.openxmlformats.org/officeDocument/2006/relationships/hyperlink" Target="https://nabl-india.org/nabl/file_download1.php?filename=202404180952-TC-5663-doc.pdf" TargetMode="External" Id="rId28"/><Relationship Type="http://schemas.openxmlformats.org/officeDocument/2006/relationships/hyperlink" Target="http://www.neulandlabs.com/en/about-us/our-facilities/peptide-manufacturing-facility-hyderabad" TargetMode="External" Id="rId29"/><Relationship Type="http://schemas.openxmlformats.org/officeDocument/2006/relationships/hyperlink" Target="http://www.peptron.com/ds3_4_1.html" TargetMode="External" Id="rId30"/><Relationship Type="http://schemas.openxmlformats.org/officeDocument/2006/relationships/hyperlink" Target="https://www.fda.gov/inspections-compliance-enforcement-and-criminal-investigations/warning-letters/auriga-research-pvt-ltd-730694-08122026" TargetMode="External" Id="rId31"/><Relationship Type="http://schemas.openxmlformats.org/officeDocument/2006/relationships/hyperlink" Target="https://www.hkexnews.hk/listedco/listconews/sehk/2026/0323/2026032300516.pdf" TargetMode="External" Id="rId32"/><Relationship Type="http://schemas.openxmlformats.org/officeDocument/2006/relationships/hyperlink" Target="https://tides.wuxiapptec.com/services-solutions/peptide/peptide-cmc/drug-product/" TargetMode="External" Id="rId33"/><Relationship Type="http://schemas.openxmlformats.org/officeDocument/2006/relationships/hyperlink" Target="https://sta.wuxiapptec.com/wuxi-apptecs-changzhou-and-taixing-api-sites-successfully-pass-fda-inspections/" TargetMode="External" Id="rId34"/><Relationship Type="http://schemas.openxmlformats.org/officeDocument/2006/relationships/hyperlink" Target="https://tides.wuxiapptec.com/facility/changzhou-china/" TargetMode="External" Id="rId35"/><Relationship Type="http://schemas.openxmlformats.org/officeDocument/2006/relationships/hyperlink" Target="https://sta.wuxiapptec.com/wuxi-sta-successfully-passes-four-pre-approval-inspections-by-south-koreas-ministry-of-food-and-drug-safety-at-three-manufacturing-sites-in-china/" TargetMode="External" Id="rId36"/><Relationship Type="http://schemas.openxmlformats.org/officeDocument/2006/relationships/hyperlink" Target="https://www.fda.gov/drugs/guidance-compliance-regulatory-information/wuxi-sta-pharmaceutical-co-ltd-3032023" TargetMode="External" Id="rId37"/><Relationship Type="http://schemas.openxmlformats.org/officeDocument/2006/relationships/hyperlink" Target="https://sta.wuxiapptec.com/wuxi-sta-passes-the-first-ema-drug-product-pre-approval-inspection-at-its-wuxi-city-site/" TargetMode="External" Id="rId38"/><Relationship Type="http://schemas.openxmlformats.org/officeDocument/2006/relationships/hyperlink" Target="https://tides.wuxiapptec.com/services-solutions/peptide/peptide-cmc/api/" TargetMode="External" Id="rId39"/><Relationship Type="http://schemas.openxmlformats.org/officeDocument/2006/relationships/hyperlink" Target="https://tides.wuxiapptec.com/wuxi-apptec-triples-peptide-manufacturing-capacity-and-launches-the-new-taixing-api-manufacturing-site/" TargetMode="External" Id="rId40"/><Relationship Type="http://schemas.openxmlformats.org/officeDocument/2006/relationships/hyperlink" Target="https://www.federalregister.gov/documents/2026/06/10/2026-11571/notice-of-availability-of-designation-of-chinese-military-companies" TargetMode="External" Id="rId41"/><Relationship Type="http://schemas.openxmlformats.org/officeDocument/2006/relationships/hyperlink" Target="https://law.justia.com/cases/federal/district-courts/district-of-columbia/dcdce/1:2026cv02069/293402/25/" TargetMode="External" Id="rId42"/><Relationship Type="http://schemas.openxmlformats.org/officeDocument/2006/relationships/hyperlink" Target="https://www.wuxiapptec.com/news/wuxi-news/wuxi-apptecs-sta-subsidiary-opens-new-campus-in-changzhou" TargetMode="External" Id="rId43"/><Relationship Type="http://schemas.openxmlformats.org/officeDocument/2006/relationships/hyperlink" Target="https://job.lzu.edu.cn/html/22/article/2021/26785.html" TargetMode="External" Id="rId44"/><Relationship Type="http://schemas.openxmlformats.org/officeDocument/2006/relationships/hyperlink" Target="https://www.taixing.gov.cn/zwgk/xxgk/qt/art/2026/art_36ffc717d971456e810a5c5f09c3cab5.html" TargetMode="External" Id="rId45"/><Relationship Type="http://schemas.openxmlformats.org/officeDocument/2006/relationships/hyperlink" Target="https://www.fda.gov/inspections-compliance-enforcement-and-criminal-investigations/inspection-classification-database" TargetMode="External" Id="rId46"/><Relationship Type="http://schemas.openxmlformats.org/officeDocument/2006/relationships/hyperlink" Target="https://tides.wuxiapptec.com/services-solutions/peptide/peptide-cmc/analytical/" TargetMode="External" Id="rId47"/><Relationship Type="http://schemas.openxmlformats.org/officeDocument/2006/relationships/hyperlink" Target="https://officialsite-static.wuxiapptec.com/upload/ANNOUNCEMENT_FOR_PRELIMINARY_INJUNCTION_2e0a0bc090.pdf" TargetMode="External" Id="rId48"/><Relationship Type="http://schemas.openxmlformats.org/officeDocument/2006/relationships/hyperlink" Target="https://tides.wuxiapptec.com/facility/taixing-china/" TargetMode="External" Id="rId49"/><Relationship Type="http://schemas.openxmlformats.org/officeDocument/2006/relationships/hyperlink" Target="https://tides.wuxiapptec.com/facility/wuxi-city-china/" TargetMode="External" Id="rId50"/><Relationship Type="http://schemas.openxmlformats.org/officeDocument/2006/relationships/hyperlink" Target="http://static.cninfo.com.cn/finalpage/2026-04-30/1225262826.PDF" TargetMode="External" Id="rId51"/><Relationship Type="http://schemas.openxmlformats.org/officeDocument/2006/relationships/hyperlink" Target="http://star.sse.com.cn/star/en/marketdata/snapshot/c/5547483.shtml" TargetMode="External" Id="rId52"/><Relationship Type="http://schemas.openxmlformats.org/officeDocument/2006/relationships/hyperlink" Target="https://www.accessdata.fda.gov/scripts/SDA/sdDetailNavigation.cfm?sd=srolist&amp;id=587C873A8EF03E9EE06346F0E10A144F&amp;rownum=1997" TargetMode="External" Id="rId53"/><Relationship Type="http://schemas.openxmlformats.org/officeDocument/2006/relationships/hyperlink" Target="https://www.allsino.com/en/index.html" TargetMode="External" Id="rId54"/><Relationship Type="http://schemas.openxmlformats.org/officeDocument/2006/relationships/hyperlink" Target="https://www.sinopep.com/cdmo-services/formulation/" TargetMode="External" Id="rId55"/><Relationship Type="http://schemas.openxmlformats.org/officeDocument/2006/relationships/hyperlink" Target="https://www.fda.gov/media/85138/download" TargetMode="External" Id="rId56"/><Relationship Type="http://schemas.openxmlformats.org/officeDocument/2006/relationships/hyperlink" Target="https://www.sinopep.com/cdmo-services/regulatory-affairs/" TargetMode="External" Id="rId57"/><Relationship Type="http://schemas.openxmlformats.org/officeDocument/2006/relationships/hyperlink" Target="https://www.csrc.gov.cn/csrc/c101928/c7603410/content.shtml" TargetMode="External" Id="rId58"/><Relationship Type="http://schemas.openxmlformats.org/officeDocument/2006/relationships/hyperlink" Target="https://www.medtideinc.com/tc/CompanyNews/info.aspx?itemid=318" TargetMode="External" Id="rId59"/><Relationship Type="http://schemas.openxmlformats.org/officeDocument/2006/relationships/hyperlink" Target="https://www.medtideinc.com/tc/companynews/info.aspx?itemid=319" TargetMode="External" Id="rId60"/><Relationship Type="http://schemas.openxmlformats.org/officeDocument/2006/relationships/hyperlink" Target="http://www.csrc.gov.cn/csrc/c100090/c1519459/1519459/files/%E5%8F%91%E8%A1%8C%E4%BA%BA%E5%8F%8A%E4%BF%9D%E8%8D%90%E6%9C%BA%E6%9E%84%E5%85%B3%E4%BA%8E%E5%8F%91%E8%A1%8C%E6%B3%A8%E5%86%8C%E7%8E%AF%E8%8A%82%E5%8F%8D%E9%A6%88%E6%84%8F%E8%A7%81%E8%90%BD%E5%AE%9E%E5%87%BD%E7%9A%84%E5%9B%9E%E5%A4%8D.pdf" TargetMode="External" Id="rId61"/><Relationship Type="http://schemas.openxmlformats.org/officeDocument/2006/relationships/hyperlink" Target="https://www.sinopep.com/cdmo-services/capacity/" TargetMode="External" Id="rId62"/><Relationship Type="http://schemas.openxmlformats.org/officeDocument/2006/relationships/hyperlink" Target="https://www.sinopep.com/frequently-asked-questions/" TargetMode="External" Id="rId63"/><Relationship Type="http://schemas.openxmlformats.org/officeDocument/2006/relationships/hyperlink" Target="https://www.pmda.go.jp/files/000240884.xlsx" TargetMode="External" Id="rId64"/><Relationship Type="http://schemas.openxmlformats.org/officeDocument/2006/relationships/hyperlink" Target="https://www.accessdata.fda.gov/cms_ia/importalert_189.html" TargetMode="External" Id="rId65"/><Relationship Type="http://schemas.openxmlformats.org/officeDocument/2006/relationships/hyperlink" Target="https://www.accessdata.fda.gov/cms_ia/importalert_1174.html" TargetMode="External" Id="rId66"/><Relationship Type="http://schemas.openxmlformats.org/officeDocument/2006/relationships/hyperlink" Target="https://pdf.dfcfw.com/pdf/H2_AN202604291821715619_1.PDF?t=1782816592078" TargetMode="External" Id="rId67"/><Relationship Type="http://schemas.openxmlformats.org/officeDocument/2006/relationships/hyperlink" Target="https://www.hybio.com/subsidiary/" TargetMode="External" Id="rId68"/><Relationship Type="http://schemas.openxmlformats.org/officeDocument/2006/relationships/hyperlink" Target="https://www.nmpa.gov.cn/directory/web/nmpa//xxgk/ggtg/ypggtg/ypgmprzh/ypgmprzhgg/ypgmpshj/20190115000001188.html" TargetMode="External" Id="rId69"/><Relationship Type="http://schemas.openxmlformats.org/officeDocument/2006/relationships/hyperlink" Target="https://dailymed.nlm.nih.gov/dailymed/drugInfo.cfm?setid=2100ec49-57b2-4330-ab5f-057ce9b7e4d0" TargetMode="External" Id="rId70"/><Relationship Type="http://schemas.openxmlformats.org/officeDocument/2006/relationships/hyperlink" Target="https://projects.propublica.org/rx-inspector/facilities/3011090684/" TargetMode="External" Id="rId71"/><Relationship Type="http://schemas.openxmlformats.org/officeDocument/2006/relationships/hyperlink" Target="https://pdf.dfcfw.com/pdf/H2_AN202111191529958067_1.pdf" TargetMode="External" Id="rId72"/><Relationship Type="http://schemas.openxmlformats.org/officeDocument/2006/relationships/hyperlink" Target="https://www.gov.br/anvisa/pt-br/composicao/diretoria-colegiada/reunioes-da-diretoria/votos-dos-circuitos-deliberativos-1/2025/cd-0660-2025-voto.pdf" TargetMode="External" Id="rId73"/><Relationship Type="http://schemas.openxmlformats.org/officeDocument/2006/relationships/hyperlink" Target="https://projects.propublica.org/rx-inspector/facilities/3016069760/" TargetMode="External" Id="rId74"/><Relationship Type="http://schemas.openxmlformats.org/officeDocument/2006/relationships/hyperlink" Target="https://www.nmpa.gov.cn/directory/web/nmpa/xxgk/ggtg/ypggtg/ypgmprzh/ypgmprzhgg/ypgmpshj/20181119000001285.html" TargetMode="External" Id="rId75"/><Relationship Type="http://schemas.openxmlformats.org/officeDocument/2006/relationships/hyperlink" Target="https://cima.aemps.es/cima/publico/detalle.html?nregistro=84867" TargetMode="External" Id="rId76"/><Relationship Type="http://schemas.openxmlformats.org/officeDocument/2006/relationships/hyperlink" Target="https://www.hybio.com/peptide-drug-development/" TargetMode="External" Id="rId77"/><Relationship Type="http://schemas.openxmlformats.org/officeDocument/2006/relationships/hyperlink" Target="https://www.hybio.com/crdmo-services/" TargetMode="External" Id="rId78"/><Relationship Type="http://schemas.openxmlformats.org/officeDocument/2006/relationships/hyperlink" Target="https://www.fda.gov/news-events/press-announcements/fda-approves-first-generic-once-daily-glp-1-injection-lower-blood-sugar-patients-type-2-diabetes" TargetMode="External" Id="rId79"/><Relationship Type="http://schemas.openxmlformats.org/officeDocument/2006/relationships/hyperlink" Target="https://www.fda.gov/inspections-compliance-enforcement-and-criminal-investigations/inspection-basics/inspection-classifications" TargetMode="External" Id="rId80"/><Relationship Type="http://schemas.openxmlformats.org/officeDocument/2006/relationships/hyperlink" Target="https://www.nmpa.gov.cn/directory/web/nmpa/zwfw/sdxx/sdxxyp/yppjfb/20230129155130147.html" TargetMode="External" Id="rId81"/><Relationship Type="http://schemas.openxmlformats.org/officeDocument/2006/relationships/hyperlink" Target="https://www.nmpa.gov.cn/directory/web/nmpa/zwfw/sdxx/sdxxyp/yppjfb/20230202160812103.html" TargetMode="External" Id="rId82"/><Relationship Type="http://schemas.openxmlformats.org/officeDocument/2006/relationships/hyperlink" Target="https://www.nmpa.gov.cn/zwfw/sdxx/sdxxyp/yppjfb/20260701155655187.html?type=pc&amp;m=" TargetMode="External" Id="rId83"/><Relationship Type="http://schemas.openxmlformats.org/officeDocument/2006/relationships/hyperlink" Target="https://www.hybio.com/zh/notice/announcement-on-the-wholly-owned-subsidiary-obtaining-the-austral/" TargetMode="External" Id="rId84"/><Relationship Type="http://schemas.openxmlformats.org/officeDocument/2006/relationships/hyperlink" Target="http://notice.10jqka.com.cn/api/pdf/e224e819098f4d2c_1744976591/%E7%BF%B0%E5%AE%87%E8%8D%AF%E4%B8%9A%EF%BC%9A%E5%85%B3%E4%BA%8E%E5%90%91%E9%9F%A9%E5%9B%BD%E9%A3%9F%E5%93%81%E8%8D%AF%E5%93%81%E5%AE%89%E5%85%A8%E5%A4%84%E6%8F%90%E4%BA%A4%E6%9B%BF%E5%B0%94%E6%B3%8A%E8%82%BD%E5%8E%9F%E6%96%99%E8%8D%AF%E7%99%BB%E8%AE%B0%E7%9A%84%E5%85%AC%E5%91%8A.pdf" TargetMode="External" Id="rId85"/><Relationship Type="http://schemas.openxmlformats.org/officeDocument/2006/relationships/hyperlink" Target="https://www.hybio.com/news/hybio-pharmaceutical-s-longhua-headquarters-r-d-center-laboratory-passes-fda-inspection-again-with-zero-deficiencies/" TargetMode="External" Id="rId86"/><Relationship Type="http://schemas.openxmlformats.org/officeDocument/2006/relationships/hyperlink" Target="https://www.accessdata.fda.gov/CMS_IA/importalert_1186.html" TargetMode="External" Id="rId87"/><Relationship Type="http://schemas.openxmlformats.org/officeDocument/2006/relationships/hyperlink" Target="https://disc.static.szse.cn/disc/disk03/finalpage/2023-08-14/0f7f53c8-77df-40f7-a9b9-6cc601875520.PDF" TargetMode="External" Id="rId88"/><Relationship Type="http://schemas.openxmlformats.org/officeDocument/2006/relationships/hyperlink" Target="http://changchun.customs.gov.cn/shenzhen_customs/zfxxgk15/4956195/4956283/4962908/4972922/4972944/6586472/index.html" TargetMode="External" Id="rId89"/><Relationship Type="http://schemas.openxmlformats.org/officeDocument/2006/relationships/hyperlink" Target="https://www.hybio.com/news/good-news-hybio-pharmaceutical-completes-official-nmpa-registration-for-tirzepatide-api/" TargetMode="External" Id="rId90"/><Relationship Type="http://schemas.openxmlformats.org/officeDocument/2006/relationships/hyperlink" Target="https://www.hybio.com/news/good-news-hybio-pharmaceutical-completes-official-nmpa-registration-of-semaglutide-api/" TargetMode="External" Id="rId91"/><Relationship Type="http://schemas.openxmlformats.org/officeDocument/2006/relationships/hyperlink" Target="https://www.kgi.com.hk/en/-/media/files/kgishk/pdf/ipoprospectus/hkipo_03880.pdf" TargetMode="External" Id="rId92"/><Relationship Type="http://schemas.openxmlformats.org/officeDocument/2006/relationships/hyperlink" Target="https://cpcscientific.com/medtide-inc-cpc-scientifics-parent-company-debuts-on-hong-kong-stock-exchange/" TargetMode="External" Id="rId93"/><Relationship Type="http://schemas.openxmlformats.org/officeDocument/2006/relationships/hyperlink" Target="https://projects.propublica.org/rx-inspector/facilities/3004518843/" TargetMode="External" Id="rId94"/><Relationship Type="http://schemas.openxmlformats.org/officeDocument/2006/relationships/hyperlink" Target="https://hbw.citeline.com/-/media/pmbi-old-site/supporting-documents/pharmasia-news/2012/june/warning-letter--chinese-peptide-co.pdf" TargetMode="External" Id="rId95"/><Relationship Type="http://schemas.openxmlformats.org/officeDocument/2006/relationships/hyperlink" Target="https://www.medtideinc.com/en/CompanyNews/info.aspx?itemid=327" TargetMode="External" Id="rId96"/><Relationship Type="http://schemas.openxmlformats.org/officeDocument/2006/relationships/hyperlink" Target="https://newsfile.moomoo.com/public/NN-PersistNoticeAttachment/7781/20260330/12078527-0.PDF" TargetMode="External" Id="rId97"/><Relationship Type="http://schemas.openxmlformats.org/officeDocument/2006/relationships/hyperlink" Target="https://cpcscientific.com/locations/" TargetMode="External" Id="rId98"/><Relationship Type="http://schemas.openxmlformats.org/officeDocument/2006/relationships/hyperlink" Target="https://www.nmpa.gov.cn/directory/web/nmpa/xxgk/ggtg/ypggtg/ypgmprzh/ypgmprzhgg/ypgmpgjj/20100114165101245.html" TargetMode="External" Id="rId99"/><Relationship Type="http://schemas.openxmlformats.org/officeDocument/2006/relationships/hyperlink" Target="https://www.businesswire.com/news/home/20260805297284/en/CPC-Scientific-Announces-U.S.-FDA-Pre-License-Inspection-PLI-Successfully-Completed-at-Its-Hangzhou-cGMP-Manufacturing-Facility-for-Hepcludex-API-Establishing-a-Proven-Track-Record-Under-the-Stringent-BLA-Pathway" TargetMode="External" Id="rId100"/><Relationship Type="http://schemas.openxmlformats.org/officeDocument/2006/relationships/hyperlink" Target="https://static.propublica.org/fda-inspection-documents/483s/2024-10801%2F240010163_enc2_320.pdf" TargetMode="External" Id="rId101"/><Relationship Type="http://schemas.openxmlformats.org/officeDocument/2006/relationships/hyperlink" Target="https://cpcscientific.com/custom-peptide-synthesis/cgmp-peptide-manufacturing/capacity/" TargetMode="External" Id="rId102"/><Relationship Type="http://schemas.openxmlformats.org/officeDocument/2006/relationships/hyperlink" Target="https://cpcscientific.com/custom-peptide-synthesis/cgmp-peptide-manufacturing/quality/" TargetMode="External" Id="rId103"/><Relationship Type="http://schemas.openxmlformats.org/officeDocument/2006/relationships/hyperlink" Target="https://www.fda.gov/news-events/press-announcements/fda-approves-first-treatment-chronic-hepatitis-delta-virus-hdv-infection" TargetMode="External" Id="rId104"/><Relationship Type="http://schemas.openxmlformats.org/officeDocument/2006/relationships/hyperlink" Target="https://www.fda483s.com/fdadocs/chinese-peptide-company-hangzhou-china/" TargetMode="External" Id="rId105"/><Relationship Type="http://schemas.openxmlformats.org/officeDocument/2006/relationships/hyperlink" Target="https://cpcscientific.com/cpc-scientifics-tirzepatide-api-successfully-secures-us-fda-dmf-filing/" TargetMode="External" Id="rId106"/><Relationship Type="http://schemas.openxmlformats.org/officeDocument/2006/relationships/hyperlink" Target="https://cpcscientific.com/cpc-scientifics-gmp-manufacturing-facility-passes-german-inspection/" TargetMode="External" Id="rId107"/><Relationship Type="http://schemas.openxmlformats.org/officeDocument/2006/relationships/hyperlink" Target="https://www.ema.europa.eu/en/medicines/human/EPAR/hepcludex" TargetMode="External" Id="rId108"/><Relationship Type="http://schemas.openxmlformats.org/officeDocument/2006/relationships/hyperlink" Target="https://www.medtideinc.com/en/companynews/info.aspx?itemid=328" TargetMode="External" Id="rId109"/><Relationship Type="http://schemas.openxmlformats.org/officeDocument/2006/relationships/hyperlink" Target="https://www.fda.gov/news-events/press-announcements/fda-launches-green-list-protect-americans-illegal-imported-glp-1-drug-ingredients" TargetMode="External" Id="rId110"/><Relationship Type="http://schemas.openxmlformats.org/officeDocument/2006/relationships/hyperlink" Target="https://extranet.who.int/prequal/medicines/active-pharmaceutical-ingredient/whoapi-361-oxytocin" TargetMode="External" Id="rId111"/><Relationship Type="http://schemas.openxmlformats.org/officeDocument/2006/relationships/hyperlink" Target="https://extranet.who.int/prequal/medicines/active-pharmaceutical-ingredient/whoapi-423-carbetocin" TargetMode="External" Id="rId112"/><Relationship Type="http://schemas.openxmlformats.org/officeDocument/2006/relationships/hyperlink" Target="https://extranet.who.int/prequal/medicines/rh083" TargetMode="External" Id="rId113"/><Relationship Type="http://schemas.openxmlformats.org/officeDocument/2006/relationships/hyperlink" Target="https://cdsco.gov.in/opencms/resources/UploadCDSCOWeb/2018/UploadInternationalCell/WC%20-0549%20-Piramal.pdf" TargetMode="External" Id="rId114"/><Relationship Type="http://schemas.openxmlformats.org/officeDocument/2006/relationships/hyperlink" Target="https://www.fda.gov/media/185578/download" TargetMode="External" Id="rId115"/><Relationship Type="http://schemas.openxmlformats.org/officeDocument/2006/relationships/hyperlink" Target="https://www.business-standard.com/markets/capital-market-news/piramal-pharma-gains-after-receiving-eir-for-turbhe-facility-from-usfda-125051200714_1.html" TargetMode="External" Id="rId116"/><Relationship Type="http://schemas.openxmlformats.org/officeDocument/2006/relationships/hyperlink" Target="https://www.health.gov.za/wp-content/uploads/2026/02/Current-Master-Health-Product-List-6-Feb-2026.xlsx" TargetMode="External" Id="rId117"/><Relationship Type="http://schemas.openxmlformats.org/officeDocument/2006/relationships/hyperlink" Target="https://www.piramalpharmasolutions.com/facilities/peptide-api-development-and-manufacturing-turbhe" TargetMode="External" Id="rId118"/><Relationship Type="http://schemas.openxmlformats.org/officeDocument/2006/relationships/hyperlink" Target="https://ppl-da-website-new-afd-endpoint-bgd4d0c9egf9g2eq.a01.azurefd.net/media/documents/Annual-Report-FY-2025-26.pdf" TargetMode="External" Id="rId119"/><Relationship Type="http://schemas.openxmlformats.org/officeDocument/2006/relationships/hyperlink" Target="https://www.piramalpharmasolutions.com/facilities/sterile-injectables-development-and-manufacturing-lexington" TargetMode="External" Id="rId120"/><Relationship Type="http://schemas.openxmlformats.org/officeDocument/2006/relationships/hyperlink" Target="https://www.business-standard.com/markets/capital-market-news/piramal-pharma-gets-eir-for-lexington-facility-from-us-fda-126041300272_1.html" TargetMode="External" Id="rId121"/><Relationship Type="http://schemas.openxmlformats.org/officeDocument/2006/relationships/hyperlink" Target="https://extranet.who.int/prequal/sites/default/files/whopar_files/RH083part6v2_1.pdf" TargetMode="External" Id="rId122"/><Relationship Type="http://schemas.openxmlformats.org/officeDocument/2006/relationships/hyperlink" Target="https://www.piramalpharmasolutions.com/resources/blogs/cost-effective-synthesis-of-complex-cyclic-peptides" TargetMode="External" Id="rId123"/><Relationship Type="http://schemas.openxmlformats.org/officeDocument/2006/relationships/hyperlink" Target="https://www.prnewswire.com/news-releases/piramal-pharma-solutions-expands-peptide-api-facility-with-advanced-spray-drying-suite-302842218.html" TargetMode="External" Id="rId124"/><Relationship Type="http://schemas.openxmlformats.org/officeDocument/2006/relationships/hyperlink" Target="https://www.prnewswire.com/news-releases/piramal-pharmas-fy2026-annual-report-showcases-global-scale-innovation-led-growth-and-sustainability-milestones-302819498.html" TargetMode="External" Id="rId125"/><Relationship Type="http://schemas.openxmlformats.org/officeDocument/2006/relationships/hyperlink" Target="https://www.pharmamanufacturing.com/industry-news/news/55271230/fda-hits-piramal-pharmas-api-plant-in-india-with-form-483-for-deficiencies" TargetMode="External" Id="rId126"/><Relationship Type="http://schemas.openxmlformats.org/officeDocument/2006/relationships/hyperlink" Target="https://vbshilpa.com/pdf/Annual-report-results-2025-2026.pdf" TargetMode="External" Id="rId127"/><Relationship Type="http://schemas.openxmlformats.org/officeDocument/2006/relationships/hyperlink" Target="https://vbshilpa.com/annual-reports.php" TargetMode="External" Id="rId128"/><Relationship Type="http://schemas.openxmlformats.org/officeDocument/2006/relationships/hyperlink" Target="https://www.vbshilpa.com/locations.php" TargetMode="External" Id="rId129"/><Relationship Type="http://schemas.openxmlformats.org/officeDocument/2006/relationships/hyperlink" Target="https://www.vbshilpa.com/pdf/Shilpa%20Pharma%20Lifesciences%20Limited,%20Received%20CEP%20from%20EDQM%20for%20API,%20Desmopressin.pdf" TargetMode="External" Id="rId130"/><Relationship Type="http://schemas.openxmlformats.org/officeDocument/2006/relationships/hyperlink" Target="https://www.vbshilpa.com/pdf/Shilpa%20Pharma%20Lifesciences%20Limited,%20Received%20CEP%20from%20EDQM%20for%20API,%20Octreotide.pdf" TargetMode="External" Id="rId131"/><Relationship Type="http://schemas.openxmlformats.org/officeDocument/2006/relationships/hyperlink" Target="https://www.vbshilpa.com/pdf/Shilpa%20Pharma%20Lifesciences%20Limited,%20Unit-1,%20Received%20EIR%20from%20USFDA.pdf" TargetMode="External" Id="rId132"/><Relationship Type="http://schemas.openxmlformats.org/officeDocument/2006/relationships/hyperlink" Target="https://www.vbshilpa.com/pdf/Shilpa%20Pharma%20Lifesciences%20Ltd,%20Unit%20II,%20Raichur,%20Karnataka%20has%20cleared%20PMDA%20Japan,%20GMP%20inspection.pdf" TargetMode="External" Id="rId133"/><Relationship Type="http://schemas.openxmlformats.org/officeDocument/2006/relationships/hyperlink" Target="https://www.vbshilpa.com/pdf/Shilpa%20Pharma%20Lifesciences%20Limited,%20Unit%202,%20Raichur,%20Karnataka%20has%20cleared%20the%20ANVISA-Brazil%20GMP%20inspection.pdf" TargetMode="External" Id="rId134"/><Relationship Type="http://schemas.openxmlformats.org/officeDocument/2006/relationships/hyperlink" Target="https://www.vbshilpa.com/pdf/Europe%20GMP%20Approval%20of%20Shilpa%20Medicare%20Ltd.%20Unit%204,%20Jadcherla,%20Telangana..pdf" TargetMode="External" Id="rId135"/><Relationship Type="http://schemas.openxmlformats.org/officeDocument/2006/relationships/hyperlink" Target="https://www.fda.gov/inspections-compliance-enforcement-and-criminal-investigations/warning-letters/shilpa-medicare-limited-607877-10092020" TargetMode="External" Id="rId136"/><Relationship Type="http://schemas.openxmlformats.org/officeDocument/2006/relationships/hyperlink" Target="https://shilpapharma.com/capabilities/" TargetMode="External" Id="rId137"/><Relationship Type="http://schemas.openxmlformats.org/officeDocument/2006/relationships/hyperlink" Target="https://shilpapharma.com/peptide-manufacturers/" TargetMode="External" Id="rId138"/><Relationship Type="http://schemas.openxmlformats.org/officeDocument/2006/relationships/hyperlink" Target="https://vbshilpa.com/peptides-gmp.php" TargetMode="External" Id="rId139"/><Relationship Type="http://schemas.openxmlformats.org/officeDocument/2006/relationships/hyperlink" Target="https://www.biopharminternational.com/view/shilpa-medicare-launches-hybrid-cdmo-dcat-week-2025" TargetMode="External" Id="rId140"/><Relationship Type="http://schemas.openxmlformats.org/officeDocument/2006/relationships/hyperlink" Target="https://vbshilpa.com/peptides-non-gmp-services.php" TargetMode="External" Id="rId141"/><Relationship Type="http://schemas.openxmlformats.org/officeDocument/2006/relationships/hyperlink" Target="https://shilpapharma.com/analytical-services/" TargetMode="External" Id="rId142"/><Relationship Type="http://schemas.openxmlformats.org/officeDocument/2006/relationships/hyperlink" Target="https://www.edqm.eu/en/databases" TargetMode="External" Id="rId143"/><Relationship Type="http://schemas.openxmlformats.org/officeDocument/2006/relationships/hyperlink" Target="https://www.sahpra.org.za/registered-health-products/" TargetMode="External" Id="rId144"/><Relationship Type="http://schemas.openxmlformats.org/officeDocument/2006/relationships/hyperlink" Target="https://www.vbshilpa.com/press-releases.php" TargetMode="External" Id="rId145"/><Relationship Type="http://schemas.openxmlformats.org/officeDocument/2006/relationships/hyperlink" Target="https://www.vbshilpa.com/peptides-generic.php" TargetMode="External" Id="rId146"/><Relationship Type="http://schemas.openxmlformats.org/officeDocument/2006/relationships/hyperlink" Target="https://www.accessdata.fda.gov/drugsatfda_docs/nda/2024/215179Orig1s000OtherActionLtrs.pdf" TargetMode="External" Id="rId147"/><Relationship Type="http://schemas.openxmlformats.org/officeDocument/2006/relationships/hyperlink" Target="https://peptistar.com/company/outline/" TargetMode="External" Id="rId148"/><Relationship Type="http://schemas.openxmlformats.org/officeDocument/2006/relationships/hyperlink" Target="https://info.gbiz.go.jp/hojin/ichiran?hojinBango=5120901038915" TargetMode="External" Id="rId149"/><Relationship Type="http://schemas.openxmlformats.org/officeDocument/2006/relationships/hyperlink" Target="https://www.peptidream.com/en/company/history/" TargetMode="External" Id="rId150"/><Relationship Type="http://schemas.openxmlformats.org/officeDocument/2006/relationships/hyperlink" Target="https://contents.xj-storage.jp/xcontents/45870/0f4e7954/5cfb/4ea6/97e3/9737ca27ce47/140120260216562906.pdf" TargetMode="External" Id="rId151"/><Relationship Type="http://schemas.openxmlformats.org/officeDocument/2006/relationships/hyperlink" Target="https://peptistar.com/en/news/20241111-2/" TargetMode="External" Id="rId152"/><Relationship Type="http://schemas.openxmlformats.org/officeDocument/2006/relationships/hyperlink" Target="https://peptistar.com/en/news/20250326-2/" TargetMode="External" Id="rId153"/><Relationship Type="http://schemas.openxmlformats.org/officeDocument/2006/relationships/hyperlink" Target="https://peptistar.com/en/news/20250417-2/" TargetMode="External" Id="rId154"/><Relationship Type="http://schemas.openxmlformats.org/officeDocument/2006/relationships/hyperlink" Target="https://peptistar.com/en/service/peptide/" TargetMode="External" Id="rId155"/><Relationship Type="http://schemas.openxmlformats.org/officeDocument/2006/relationships/hyperlink" Target="https://peptistar.com/en/technology/" TargetMode="External" Id="rId156"/><Relationship Type="http://schemas.openxmlformats.org/officeDocument/2006/relationships/hyperlink" Target="https://peptistar.com/en/facility/manufacturing1/" TargetMode="External" Id="rId157"/><Relationship Type="http://schemas.openxmlformats.org/officeDocument/2006/relationships/hyperlink" Target="https://peptistar.com/en/facility/manufacturing2/" TargetMode="External" Id="rId158"/><Relationship Type="http://schemas.openxmlformats.org/officeDocument/2006/relationships/hyperlink" Target="https://peptistar.com/en/service/" TargetMode="External" Id="rId159"/><Relationship Type="http://schemas.openxmlformats.org/officeDocument/2006/relationships/hyperlink" Target="https://www.fda.gov/drugs/pharmaceutical-quality-resources/inspection-enforcement-resources" TargetMode="External" Id="rId160"/><Relationship Type="http://schemas.openxmlformats.org/officeDocument/2006/relationships/hyperlink" Target="https://www.ema.europa.eu/en/human-regulatory-overview/research-development/compliance-research-development/good-manufacturing-practice/eudragmdp-database" TargetMode="External" Id="rId161"/><Relationship Type="http://schemas.openxmlformats.org/officeDocument/2006/relationships/hyperlink" Target="https://peptistar.com/en/facility/headquarters/" TargetMode="External" Id="rId162"/><Relationship Type="http://schemas.openxmlformats.org/officeDocument/2006/relationships/hyperlink" Target="https://peptistar.com/en/facility/" TargetMode="External" Id="rId163"/><Relationship Type="http://schemas.openxmlformats.org/officeDocument/2006/relationships/hyperlink" Target="https://www.sumitomo-chem.co.jp/english/news/detail/20241111e.html" TargetMode="External" Id="rId164"/><Relationship Type="http://schemas.openxmlformats.org/officeDocument/2006/relationships/hyperlink" Target="https://peptistar.com/en/service/analysis/" TargetMode="External" Id="rId165"/><Relationship Type="http://schemas.openxmlformats.org/officeDocument/2006/relationships/hyperlink" Target="https://peptistar.com/en/service/cmc/" TargetMode="External" Id="rId166"/><Relationship Type="http://schemas.openxmlformats.org/officeDocument/2006/relationships/hyperlink" Target="https://peptistar.com/en/" TargetMode="External" Id="rId167"/><Relationship Type="http://schemas.openxmlformats.org/officeDocument/2006/relationships/hyperlink" Target="https://peptistar.com/en/technology/microwave/" TargetMode="External" Id="rId168"/><Relationship Type="http://schemas.openxmlformats.org/officeDocument/2006/relationships/hyperlink" Target="https://peptistar.com/en/technology/stagps/" TargetMode="External" Id="rId169"/><Relationship Type="http://schemas.openxmlformats.org/officeDocument/2006/relationships/hyperlink" Target="https://peptistar.com/en/technology/syncsol/" TargetMode="External" Id="rId170"/><Relationship Type="http://schemas.openxmlformats.org/officeDocument/2006/relationships/hyperlink" Target="https://peptistar.com/en/technology/hilic/" TargetMode="External" Id="rId171"/><Relationship Type="http://schemas.openxmlformats.org/officeDocument/2006/relationships/hyperlink" Target="https://peptistar.com/en/technology/mcsgp/" TargetMode="External" Id="rId172"/><Relationship Type="http://schemas.openxmlformats.org/officeDocument/2006/relationships/hyperlink" Target="https://peptistar.com/en/technology/lyophilization/" TargetMode="External" Id="rId173"/><Relationship Type="http://schemas.openxmlformats.org/officeDocument/2006/relationships/hyperlink" Target="https://www.asahi-kasei.com/news/2026/e260625" TargetMode="External" Id="rId174"/><Relationship Type="http://schemas.openxmlformats.org/officeDocument/2006/relationships/hyperlink" Target="https://peptistar.com/en/quality/" TargetMode="External" Id="rId175"/><Relationship Type="http://schemas.openxmlformats.org/officeDocument/2006/relationships/hyperlink" Target="https://www.ajibio-pharma.com/news-post/ajinomoto-althea-and-omnichem-combine-to-form-ajinomoto-bio-pharma-services-reflecting-a-collective-range-of-services-offered-to-the-bio-pharma-industry/" TargetMode="External" Id="rId176"/><Relationship Type="http://schemas.openxmlformats.org/officeDocument/2006/relationships/hyperlink" Target="https://www.ajioligos.com/en/about/specialists-in-oligonucleotides/" TargetMode="External" Id="rId177"/><Relationship Type="http://schemas.openxmlformats.org/officeDocument/2006/relationships/hyperlink" Target="https://www.ajinomoto.com/aboutus/global_network" TargetMode="External" Id="rId178"/><Relationship Type="http://schemas.openxmlformats.org/officeDocument/2006/relationships/hyperlink" Target="https://www.ajibio-pharma.com/contact-us/japan/" TargetMode="External" Id="rId179"/><Relationship Type="http://schemas.openxmlformats.org/officeDocument/2006/relationships/hyperlink" Target="https://www.ajibio-pharma.com/cdmo-services/oligo-peptide-synthesis/ajiphase-synthesis/" TargetMode="External" Id="rId180"/><Relationship Type="http://schemas.openxmlformats.org/officeDocument/2006/relationships/hyperlink" Target="https://www.ajibio-pharma.com/cdmo-services/oligo-peptide-synthesis/" TargetMode="External" Id="rId181"/><Relationship Type="http://schemas.openxmlformats.org/officeDocument/2006/relationships/hyperlink" Target="https://www.ajibio-pharma.com/cdmo-services/oligo-peptide-synthesis/solid-phase-synthesis/" TargetMode="External" Id="rId182"/><Relationship Type="http://schemas.openxmlformats.org/officeDocument/2006/relationships/hyperlink" Target="https://www.ajibio-pharma.com/news-post/genedesign-joins-ajinomoto-bio-pharma-services-and-opens-oligonucleotide-api-development-center/" TargetMode="External" Id="rId183"/><Relationship Type="http://schemas.openxmlformats.org/officeDocument/2006/relationships/hyperlink" Target="https://www.ajibio-pharma.com/news-post/first-commercial-drug-manufactured-via-ajinomoto-bio-pharma-services-ajiphase-technology-receives-fda-approval/" TargetMode="External" Id="rId184"/><Relationship Type="http://schemas.openxmlformats.org/officeDocument/2006/relationships/hyperlink" Target="https://www.fda.gov/drugs/cder-foia-electronic-reading-room/ajinomoto-company-inc-02212025" TargetMode="External" Id="rId185"/><Relationship Type="http://schemas.openxmlformats.org/officeDocument/2006/relationships/hyperlink" Target="https://projects.propublica.org/rx-inspector/facilities/3002806336/" TargetMode="External" Id="rId186"/><Relationship Type="http://schemas.openxmlformats.org/officeDocument/2006/relationships/hyperlink" Target="https://www.ajibio-pharma.com/news-post/ajinomoto-co-inc-to-sell-its-entire-equity-stake-in-ajinomoto-althea-a-us-based-aseptic-fill-finish-cdmo/" TargetMode="External" Id="rId187"/><Relationship Type="http://schemas.openxmlformats.org/officeDocument/2006/relationships/hyperlink" Target="https://www.ajinomoto.co.jp/company/en/presscenter/press/detail/g2016_12_09.html" TargetMode="External" Id="rId188"/><Relationship Type="http://schemas.openxmlformats.org/officeDocument/2006/relationships/hyperlink" Target="https://www.ajibio-pharma.com/news-post/ajinomoto-bio-pharma-services-and-olon-s-p-a-form-strategic-partnership-to-advance-large-scale-peptide-and-protein-manufacturing/" TargetMode="External" Id="rId189"/><Relationship Type="http://schemas.openxmlformats.org/officeDocument/2006/relationships/hyperlink" Target="https://ajibio-pharma.ajinomoto.com/corynex/" TargetMode="External" Id="rId190"/><Relationship Type="http://schemas.openxmlformats.org/officeDocument/2006/relationships/hyperlink" Target="https://www.fda.gov/about-fda/fda-commissioner/ajinomoto-althea-inc-dba-ajinomoto-bio-pharma-services-san-diego-ca-483-issued-01162023" TargetMode="External" Id="rId191"/><Relationship Type="http://schemas.openxmlformats.org/officeDocument/2006/relationships/hyperlink" Target="https://www.ajibio-pharma.com/dedication-to-quality/quality-management/" TargetMode="External" Id="rId192"/><Relationship Type="http://schemas.openxmlformats.org/officeDocument/2006/relationships/hyperlink" Target="https://www.ajibio-pharma.com/dedication-to-quality/regulatory-excellence/" TargetMode="External" Id="rId193"/><Relationship Type="http://schemas.openxmlformats.org/officeDocument/2006/relationships/hyperlink" Target="https://www.ajibio-pharma.com/cdmo-services/oligo-peptide-synthesis/product-quality-analytical-testing/" TargetMode="External" Id="rId194"/><Relationship Type="http://schemas.openxmlformats.org/officeDocument/2006/relationships/hyperlink" Target="https://www.ajibio-pharma.com/cdmo-services/oligo-peptide-synthesis/process-development/" TargetMode="External" Id="rId195"/><Relationship Type="http://schemas.openxmlformats.org/officeDocument/2006/relationships/hyperlink" Target="https://kind.krx.co.kr/external/2026/05/15/002059/20260515004562/11013.htm" TargetMode="External" Id="rId196"/><Relationship Type="http://schemas.openxmlformats.org/officeDocument/2006/relationships/hyperlink" Target="https://www.fda.gov/drugs/drug-master-files-dmfs/list-drug-master-files-dmfs" TargetMode="External" Id="rId197"/><Relationship Type="http://schemas.openxmlformats.org/officeDocument/2006/relationships/hyperlink" Target="https://www.fda.gov/media/192069/download?attachment" TargetMode="External" Id="rId198"/><Relationship Type="http://schemas.openxmlformats.org/officeDocument/2006/relationships/hyperlink" Target="https://hlbpep.co.kr/kor/customer/notice.php?m=v&amp;idx=1606" TargetMode="External" Id="rId199"/><Relationship Type="http://schemas.openxmlformats.org/officeDocument/2006/relationships/hyperlink" Target="https://hlbpep.co.kr/kor/customer/notice.php?m=v&amp;idx=1548&amp;pNo=1&amp;code=notice" TargetMode="External" Id="rId200"/><Relationship Type="http://schemas.openxmlformats.org/officeDocument/2006/relationships/hyperlink" Target="http://hlbpep.co.kr/" TargetMode="External" Id="rId201"/><Relationship Type="http://schemas.openxmlformats.org/officeDocument/2006/relationships/hyperlink" Target="https://kind.krx.co.kr/external/2026/07/10/000747/20260710001647/00636.htm" TargetMode="External" Id="rId202"/><Relationship Type="http://schemas.openxmlformats.org/officeDocument/2006/relationships/hyperlink" Target="https://www.accessdata.fda.gov/scripts/sda/sdDetailNavigation.cfm?sd=srolist&amp;id=587C873A8BC53E9EE06346F0E10A144F&amp;rownum=1160" TargetMode="External" Id="rId203"/><Relationship Type="http://schemas.openxmlformats.org/officeDocument/2006/relationships/hyperlink" Target="https://hlbpep.co.kr/kor/company/location.php" TargetMode="External" Id="rId204"/><Relationship Type="http://schemas.openxmlformats.org/officeDocument/2006/relationships/hyperlink" Target="https://hlbpep.co.kr/kor/customer/notice.php?m=v&amp;idx=1398&amp;pNo=2&amp;code=notice" TargetMode="External" Id="rId205"/><Relationship Type="http://schemas.openxmlformats.org/officeDocument/2006/relationships/hyperlink" Target="https://kind.krx.co.kr/external/2024/03/20/000736/20240320003693/11011.htm" TargetMode="External" Id="rId206"/><Relationship Type="http://schemas.openxmlformats.org/officeDocument/2006/relationships/hyperlink" Target="https://kind.krx.co.kr/external/2026/03/12/001283/20260312003157/00591.htm" TargetMode="External" Id="rId207"/><Relationship Type="http://schemas.openxmlformats.org/officeDocument/2006/relationships/hyperlink" Target="https://hlbpep.co.kr/eng/peptides/generic.php" TargetMode="External" Id="rId208"/><Relationship Type="http://schemas.openxmlformats.org/officeDocument/2006/relationships/hyperlink" Target="http://hlbpep.co.kr/kor/company/history.php" TargetMode="External" Id="rId209"/><Relationship Type="http://schemas.openxmlformats.org/officeDocument/2006/relationships/hyperlink" Target="https://www.mfds.go.kr/eng/brd/m_19/view.do?seq=70331&amp;srchFr=&amp;srchTo=&amp;srchWord=&amp;srchTp=&amp;itm_seq_1=0&amp;itm_seq_2=0&amp;multi_itm_seq=0&amp;company_cd=&amp;company_nm=&amp;page=4" TargetMode="External" Id="rId210"/><Relationship Type="http://schemas.openxmlformats.org/officeDocument/2006/relationships/hyperlink" Target="https://kind.krx.co.kr/external/2025/04/14/000262/20250414000741/00636.htm" TargetMode="External" Id="rId211"/><Relationship Type="http://schemas.openxmlformats.org/officeDocument/2006/relationships/hyperlink" Target="https://www.fda.gov.tw/TC/siteListContent.aspx?sid=2067&amp;id=3723" TargetMode="External" Id="rId212"/><Relationship Type="http://schemas.openxmlformats.org/officeDocument/2006/relationships/hyperlink" Target="https://www.fda.gov.tw/TC/siteListContent.aspx?sid=2067&amp;id=39453" TargetMode="External" Id="rId213"/><Relationship Type="http://schemas.openxmlformats.org/officeDocument/2006/relationships/hyperlink" Target="https://dailymed.nlm.nih.gov/dailymed/drugInfo.cfm?setid=707a64ef-964e-44a3-8a0f-fcc2eb5b1af2" TargetMode="External" Id="rId214"/><Relationship Type="http://schemas.openxmlformats.org/officeDocument/2006/relationships/hyperlink" Target="https://www.accessdata.fda.gov/scripts/sda/sdDetailNavigation.cfm?sd=srolist&amp;id=587C873A70A23E9EE06346F0E10A144F&amp;rownum=1133" TargetMode="External" Id="rId215"/><Relationship Type="http://schemas.openxmlformats.org/officeDocument/2006/relationships/hyperlink" Target="https://www.scinopharm.com/investor_document-detail/352/" TargetMode="External" Id="rId216"/><Relationship Type="http://schemas.openxmlformats.org/officeDocument/2006/relationships/hyperlink" Target="https://www.globalkeysolutions.net/records/fda_inspections/scinopharm-taiwan-ltd/ffdf6876-5ab7-4104-85ad-a0fd0f722d4f" TargetMode="External" Id="rId217"/><Relationship Type="http://schemas.openxmlformats.org/officeDocument/2006/relationships/hyperlink" Target="https://www.fda.gov/media/184915/download" TargetMode="External" Id="rId218"/><Relationship Type="http://schemas.openxmlformats.org/officeDocument/2006/relationships/hyperlink" Target="https://www.fda.gov/media/184916/download" TargetMode="External" Id="rId219"/><Relationship Type="http://schemas.openxmlformats.org/officeDocument/2006/relationships/hyperlink" Target="https://www.scinopharm.com/news-detail/115/" TargetMode="External" Id="rId220"/><Relationship Type="http://schemas.openxmlformats.org/officeDocument/2006/relationships/hyperlink" Target="https://findbiz.nat.gov.tw/fts/company/16130161" TargetMode="External" Id="rId221"/><Relationship Type="http://schemas.openxmlformats.org/officeDocument/2006/relationships/hyperlink" Target="https://findbiz.nat.gov.tw/fts/factory/08/94A00015" TargetMode="External" Id="rId222"/><Relationship Type="http://schemas.openxmlformats.org/officeDocument/2006/relationships/hyperlink" Target="https://www.scinopharm.com/investor-detail/major-shareholders/" TargetMode="External" Id="rId223"/><Relationship Type="http://schemas.openxmlformats.org/officeDocument/2006/relationships/hyperlink" Target="https://www.scinopharm.com/brand/20/" TargetMode="External" Id="rId224"/><Relationship Type="http://schemas.openxmlformats.org/officeDocument/2006/relationships/hyperlink" Target="https://www.scinopharm.com/products-detail/56/" TargetMode="External" Id="rId225"/><Relationship Type="http://schemas.openxmlformats.org/officeDocument/2006/relationships/hyperlink" Target="https://www.scinopharm.com/products-detail/commercialAPI/" TargetMode="External" Id="rId226"/><Relationship Type="http://schemas.openxmlformats.org/officeDocument/2006/relationships/hyperlink" Target="https://www.scinopharm.com/news-detail/137/" TargetMode="External" Id="rId227"/><Relationship Type="http://schemas.openxmlformats.org/officeDocument/2006/relationships/hyperlink" Target="https://www.scinopharm.com/products-detail/54/" TargetMode="External" Id="rId228"/><Relationship Type="http://schemas.openxmlformats.org/officeDocument/2006/relationships/hyperlink" Target="https://www.scinopharm.com/news-detail/117/" TargetMode="External" Id="rId229"/><Relationship Type="http://schemas.openxmlformats.org/officeDocument/2006/relationships/hyperlink" Target="https://www.scinopharm.com/news-detail/139/" TargetMode="External" Id="rId230"/><Relationship Type="http://schemas.openxmlformats.org/officeDocument/2006/relationships/hyperlink" Target="https://www.scinopharm.com/download/57/" TargetMode="External" Id="rId231"/><Relationship Type="http://schemas.openxmlformats.org/officeDocument/2006/relationships/hyperlink" Target="http://jp.scinopharm.com/upload/download/files/220170913154210.PDF" TargetMode="External" Id="rId232"/><Relationship Type="http://schemas.openxmlformats.org/officeDocument/2006/relationships/hyperlink" Target="https://www.scinopharm.com/about/" TargetMode="External" Id="rId233"/><Relationship Type="http://schemas.openxmlformats.org/officeDocument/2006/relationships/hyperlink" Target="https://www.globalkeysolutions.net/records/fda_inspections/scinopharm-taiwan-ltd/7044bf7c-e911-4e7c-84ce-056f5f8b6169" TargetMode="External" Id="rId234"/><Relationship Type="http://schemas.openxmlformats.org/officeDocument/2006/relationships/hyperlink" Target="https://www.scinopharm.com/products-detail/60/" TargetMode="External" Id="rId235"/><Relationship Type="http://schemas.openxmlformats.org/officeDocument/2006/relationships/hyperlink" Target="https://www.scinopharm.com/solutions/QC/" TargetMode="External" Id="rId236"/><Relationship Type="http://schemas.openxmlformats.org/officeDocument/2006/relationships/hyperlink" Target="https://www.scinopharm.com/download/80/" TargetMode="External" Id="rId237"/><Relationship Type="http://schemas.openxmlformats.org/officeDocument/2006/relationships/hyperlink" Target="https://www.sgsgroup.com.cn/zh-cn/news/2025/01/sgs-shanghai-health-science-laboratory" TargetMode="External" Id="rId238"/><Relationship Type="http://schemas.openxmlformats.org/officeDocument/2006/relationships/hyperlink" Target="https://www.sgsgroup.com.cn/-/media/sgscorp/documents/corporate/third-party-documents/1-cma20171021.cdn.en-CN.pdf" TargetMode="External" Id="rId239"/><Relationship Type="http://schemas.openxmlformats.org/officeDocument/2006/relationships/hyperlink" Target="https://www.sgsgroup.com.cn/en-cn/our-company/about-sgs/sgs-in-china" TargetMode="External" Id="rId240"/><Relationship Type="http://schemas.openxmlformats.org/officeDocument/2006/relationships/hyperlink" Target="https://www.prnasia.com/story/462074-1.shtml" TargetMode="External" Id="rId241"/><Relationship Type="http://schemas.openxmlformats.org/officeDocument/2006/relationships/hyperlink" Target="https://www.sgsonline.com.cn/case/article/detail-7335.html" TargetMode="External" Id="rId242"/><Relationship Type="http://schemas.openxmlformats.org/officeDocument/2006/relationships/hyperlink" Target="https://www.sgs.com/en/office-directory/sgs-china-shanghai-kangqiao-road-building-5-office" TargetMode="External" Id="rId243"/><Relationship Type="http://schemas.openxmlformats.org/officeDocument/2006/relationships/hyperlink" Target="https://www.sgs.com/en-us/news/2023/03/announcing-the-grand-opening-of-sgss-new-bioanalytical-laboratory-in-shanghai-china" TargetMode="External" Id="rId244"/><Relationship Type="http://schemas.openxmlformats.org/officeDocument/2006/relationships/hyperlink" Target="https://www.etics.org/eu_std_db/tl_scope_std.php?id_tl=124&amp;id_products_category=6&amp;s=1" TargetMode="External" Id="rId245"/><Relationship Type="http://schemas.openxmlformats.org/officeDocument/2006/relationships/hyperlink" Target="https://las.cnas.org.cn/LAS_FQ/publish/suspendCancellationQuery.jsp?orgType=L" TargetMode="External" Id="rId246"/><Relationship Type="http://schemas.openxmlformats.org/officeDocument/2006/relationships/hyperlink" Target="https://manufacturingchemist.com/sgs-expands-extractables-and-leachables-testing-capabilities-at-its-shanghai-facility--130532" TargetMode="External" Id="rId247"/><Relationship Type="http://schemas.openxmlformats.org/officeDocument/2006/relationships/hyperlink" Target="https://www.sgsgroup.com.cn/en-cn/services/forced-degradation" TargetMode="External" Id="rId248"/><Relationship Type="http://schemas.openxmlformats.org/officeDocument/2006/relationships/hyperlink" Target="https://www.fiercepharma.com/pharma-asia/sgs-life-science-services-completes-new-laboratories-at-its-shanghai-facility" TargetMode="External" Id="rId249"/><Relationship Type="http://schemas.openxmlformats.org/officeDocument/2006/relationships/hyperlink" Target="https://www.sgsgroup.com.cn/en-cn/services/container-closure-integrity-testing" TargetMode="External" Id="rId250"/><Relationship Type="http://schemas.openxmlformats.org/officeDocument/2006/relationships/hyperlink" Target="https://info.gbiz.go.jp/hojin/ichiran?hojinBango=9120001058249" TargetMode="External" Id="rId251"/><Relationship Type="http://schemas.openxmlformats.org/officeDocument/2006/relationships/hyperlink" Target="https://www.pmda.go.jp/files/000277257.xlsx" TargetMode="External" Id="rId252"/><Relationship Type="http://schemas.openxmlformats.org/officeDocument/2006/relationships/hyperlink" Target="https://www.pmda.go.jp/review-services/gmp-qms-gctp/gmp/0025.html" TargetMode="External" Id="rId253"/><Relationship Type="http://schemas.openxmlformats.org/officeDocument/2006/relationships/hyperlink" Target="https://www.pmda.go.jp/english/about-pmda/0004.html" TargetMode="External" Id="rId254"/><Relationship Type="http://schemas.openxmlformats.org/officeDocument/2006/relationships/hyperlink" Target="https://www.eurofins.com/ja-jp/biopharma-services/biopharma-product-testing/biopharmaceutical-characterization/" TargetMode="External" Id="rId255"/><Relationship Type="http://schemas.openxmlformats.org/officeDocument/2006/relationships/hyperlink" Target="https://cdnmedia.eurofins.com/apac/media/603045/001_company-profile_flyer.pdf" TargetMode="External" Id="rId256"/><Relationship Type="http://schemas.openxmlformats.org/officeDocument/2006/relationships/hyperlink" Target="https://www.eurofins.com/ja-jp/biopharma-services/biopharma-product-testing/instrumentation/" TargetMode="External" Id="rId257"/><Relationship Type="http://schemas.openxmlformats.org/officeDocument/2006/relationships/hyperlink" Target="https://www.eurofins.com/ja-jp/biopharma-services/biopharma-product-testing/qc-testing/" TargetMode="External" Id="rId258"/><Relationship Type="http://schemas.openxmlformats.org/officeDocument/2006/relationships/hyperlink" Target="https://www.eurofins.com/ja-jp/biopharma-services/biopharma-product-testing/" TargetMode="External" Id="rId259"/><Relationship Type="http://schemas.openxmlformats.org/officeDocument/2006/relationships/hyperlink" Target="https://www.eurofins.com/ja-jp/biopharma-services/biopharma-product-testing/microbiological-testing/" TargetMode="External" Id="rId260"/><Relationship Type="http://schemas.openxmlformats.org/officeDocument/2006/relationships/hyperlink" Target="https://www.eurofins.com/ja-jp/biopharma-services/biopharma-product-testing/stability-testing/" TargetMode="External" Id="rId261"/><Relationship Type="http://schemas.openxmlformats.org/officeDocument/2006/relationships/hyperlink" Target="https://www.eurofins.com/ja-jp/biopharma-services/biopharma-product-testing/qc-testing/cci/" TargetMode="External" Id="rId262"/><Relationship Type="http://schemas.openxmlformats.org/officeDocument/2006/relationships/hyperlink" Target="https://www.eurofins.com/ja-jp/biopharma-services/biopharma-product-testing/impurity-testing/extractables-and-leachables/" TargetMode="External" Id="rId263"/><Relationship Type="http://schemas.openxmlformats.org/officeDocument/2006/relationships/hyperlink" Target="https://www.fda.gov/media/177453/download" TargetMode="External" Id="rId264"/><Relationship Type="http://schemas.openxmlformats.org/officeDocument/2006/relationships/hyperlink" Target="https://www.eurofins.com/en/biopharma-services/news/eurofins-analytical-science-laboratories-expands-biologics/" TargetMode="External" Id="rId265"/><Relationship Type="http://schemas.openxmlformats.org/officeDocument/2006/relationships/hyperlink" Target="https://www.eurofins.com/ja-jp/biopharma-services/biopharma-product-testing/reference-standard-management/" TargetMode="External" Id="rId266"/><Relationship Type="http://schemas.openxmlformats.org/officeDocument/2006/relationships/hyperlink" Target="https://vimta.com/contact-us/" TargetMode="External" Id="rId267"/><Relationship Type="http://schemas.openxmlformats.org/officeDocument/2006/relationships/hyperlink" Target="https://extranet.who.int/prequal/quality-control-labs/india-vimta-genome-v" TargetMode="External" Id="rId268"/><Relationship Type="http://schemas.openxmlformats.org/officeDocument/2006/relationships/hyperlink" Target="https://extranet.who.int/prequal/sites/default/files/whopir_files/WHOPIR_VimtaLabs_18-20January2023_0.pdf" TargetMode="External" Id="rId269"/><Relationship Type="http://schemas.openxmlformats.org/officeDocument/2006/relationships/hyperlink" Target="https://extranet.who.int/prequal/medicines/prequalified/quality-control-labs" TargetMode="External" Id="rId270"/><Relationship Type="http://schemas.openxmlformats.org/officeDocument/2006/relationships/hyperlink" Target="https://vimta.com/wp-content/uploads/2026/05/USFDA-EIR-communication_2023.pdf" TargetMode="External" Id="rId271"/><Relationship Type="http://schemas.openxmlformats.org/officeDocument/2006/relationships/hyperlink" Target="https://vimta.com/wp-content/uploads/2026/05/EMA-Certificate.pdf" TargetMode="External" Id="rId272"/><Relationship Type="http://schemas.openxmlformats.org/officeDocument/2006/relationships/hyperlink" Target="https://vimta.com/industries/drug-discovery-development/testing/" TargetMode="External" Id="rId273"/><Relationship Type="http://schemas.openxmlformats.org/officeDocument/2006/relationships/hyperlink" Target="https://vimta.com/industries/testing/mass-spec-analysis-peptides-proteins/" TargetMode="External" Id="rId274"/><Relationship Type="http://schemas.openxmlformats.org/officeDocument/2006/relationships/hyperlink" Target="https://vimta.com/extractables-leachables-studies/" TargetMode="External" Id="rId275"/><Relationship Type="http://schemas.openxmlformats.org/officeDocument/2006/relationships/hyperlink" Target="https://www.sahpra.org.za/wp-content/uploads/2022/06/SAHPGL-LIC-01-Guide-On-How-to-Apply-for-A-Licence-To-Manufacture_DN.pdf" TargetMode="External" Id="rId276"/><Relationship Type="http://schemas.openxmlformats.org/officeDocument/2006/relationships/hyperlink" Target="https://nabl-india.org/nabl/index.php?c=publicaccredationdoc&amp;m=index&amp;docType=misc&amp;per_page=75" TargetMode="External" Id="rId277"/><Relationship Type="http://schemas.openxmlformats.org/officeDocument/2006/relationships/hyperlink" Target="https://vimta.com/industries/drug-discovery-development/cgmp-analytical-services/" TargetMode="External" Id="rId278"/><Relationship Type="http://schemas.openxmlformats.org/officeDocument/2006/relationships/hyperlink" Target="https://vimta.com/industries/cgmp-analytical-services/api-analysis/" TargetMode="External" Id="rId279"/><Relationship Type="http://schemas.openxmlformats.org/officeDocument/2006/relationships/hyperlink" Target="https://vimta.com/about-us/quality-management-system/" TargetMode="External" Id="rId280"/><Relationship Type="http://schemas.openxmlformats.org/officeDocument/2006/relationships/hyperlink" Target="https://extranet.who.int/prequal/news/new-who-public-inspection-reports-whopirs-published-90" TargetMode="External" Id="rId281"/><Relationship Type="http://schemas.openxmlformats.org/officeDocument/2006/relationships/hyperlink" Target="https://cdn.intertek.com/www-intertek-com/media/countrysites/2026/Intertek-Pharmaceutical-Services-India-Brochure.pdf" TargetMode="External" Id="rId282"/><Relationship Type="http://schemas.openxmlformats.org/officeDocument/2006/relationships/hyperlink" Target="https://cdn.intertek.com/www-intertek-com/dms-legacy/Intertek%20Terms%20%20Conditions%20of%20Business%20-%20INDIA.pdf" TargetMode="External" Id="rId283"/><Relationship Type="http://schemas.openxmlformats.org/officeDocument/2006/relationships/hyperlink" Target="https://www.iasonline.org/ias_certificate/tl-1217/" TargetMode="External" Id="rId284"/><Relationship Type="http://schemas.openxmlformats.org/officeDocument/2006/relationships/hyperlink" Target="https://www.iasonline.org/wp-content/uploads/2023/12/TL-1217-Cert-New.pdf" TargetMode="External" Id="rId285"/><Relationship Type="http://schemas.openxmlformats.org/officeDocument/2006/relationships/hyperlink" Target="https://bycsa.co/wp-content/uploads/2025/07/Acreditacion_de_laboratorio.pdf" TargetMode="External" Id="rId286"/><Relationship Type="http://schemas.openxmlformats.org/officeDocument/2006/relationships/hyperlink" Target="https://dst.gov.in/sites/default/files/Certified%20Test%20Facilities%20withTest%20Items%20and%20Test%20Systems%2031072026.pdf" TargetMode="External" Id="rId287"/><Relationship Type="http://schemas.openxmlformats.org/officeDocument/2006/relationships/hyperlink" Target="https://dst.gov.in/ngcma" TargetMode="External" Id="rId288"/><Relationship Type="http://schemas.openxmlformats.org/officeDocument/2006/relationships/hyperlink" Target="https://www.intertek.com/india/" TargetMode="External" Id="rId289"/><Relationship Type="http://schemas.openxmlformats.org/officeDocument/2006/relationships/hyperlink" Target="https://www.intertek.com/contact/asiapacific/india/" TargetMode="External" Id="rId290"/><Relationship Type="http://schemas.openxmlformats.org/officeDocument/2006/relationships/hyperlink" Target="https://economictimes.indiatimes.com/company/intertek-india-private-limited/U74220DL1997PTC202243" TargetMode="External" Id="rId291"/><Relationship Type="http://schemas.openxmlformats.org/officeDocument/2006/relationships/hyperlink" Target="https://fda.maharashtra.gov.in/sections/" TargetMode="External" Id="rId292"/><Relationship Type="http://schemas.openxmlformats.org/officeDocument/2006/relationships/hyperlink" Target="https://www.linkedin.com/posts/intertek_biosciences-intertekindia-environmental-activity-7431793756342947840-sQbe" TargetMode="External" Id="rId293"/><Relationship Type="http://schemas.openxmlformats.org/officeDocument/2006/relationships/hyperlink" Target="https://nabcb.qci.org.in/iaf-ilac-mla/iaf-intertek-india-pvt-ltd-mdqms033/" TargetMode="External" Id="rId294"/><Relationship Type="http://schemas.openxmlformats.org/officeDocument/2006/relationships/hyperlink" Target="https://nabl-india.org/nabl/uploads/List_of_Suspended_Labs_as_on_14-05-2026.pdf" TargetMode="External" Id="rId295"/><Relationship Type="http://schemas.openxmlformats.org/officeDocument/2006/relationships/hyperlink" Target="https://nabl-india.org/nabl/uploads/List_of_Suspended_Labs_as_on_02-12-2025.pdf" TargetMode="External" Id="rId296"/><Relationship Type="http://schemas.openxmlformats.org/officeDocument/2006/relationships/hyperlink" Target="https://www.intertek.com/pharmaceutical/biopharmaceuticals/peptide-analysis-and-formulation/" TargetMode="External" Id="rId297"/><Relationship Type="http://schemas.openxmlformats.org/officeDocument/2006/relationships/hyperlink" Target="https://www.intertek.com/pharmaceutical/analysis/qc/" TargetMode="External" Id="rId298"/><Relationship Type="http://schemas.openxmlformats.org/officeDocument/2006/relationships/hyperlink" Target="https://www.intertek.com/pharmaceutical/analysis/extractables-leachables/" TargetMode="External" Id="rId299"/><Relationship Type="http://schemas.openxmlformats.org/officeDocument/2006/relationships/hyperlink" Target="https://www.intertek.com/pharmaceutical/analysis/method-development-validation/" TargetMode="External" Id="rId300"/><Relationship Type="http://schemas.openxmlformats.org/officeDocument/2006/relationships/hyperlink" Target="https://www.sahpra.org.za/wp-content/uploads/2022/09/SAHPGL-INSP-04_v5Guidelines-for-Preparation-of-Site-Master-File.pdf" TargetMode="External" Id="rId301"/><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outlinePr summaryBelow="1" summaryRight="1"/>
    <pageSetUpPr fitToPage="1"/>
  </sheetPr>
  <dimension ref="A1:L44"/>
  <sheetViews>
    <sheetView showGridLines="0" view="pageBreakPreview" workbookViewId="0">
      <selection activeCell="A1" sqref="A1"/>
    </sheetView>
  </sheetViews>
  <sheetFormatPr baseColWidth="8" defaultRowHeight="15"/>
  <cols>
    <col width="20" customWidth="1" min="1" max="1"/>
    <col width="20" customWidth="1" min="2" max="2"/>
    <col width="28" customWidth="1" min="3" max="3"/>
    <col width="25" customWidth="1" min="4" max="4"/>
    <col width="45" customWidth="1" min="5" max="5"/>
    <col width="35" customWidth="1" min="6" max="6"/>
    <col width="10" customWidth="1" min="7" max="7"/>
    <col width="10" customWidth="1" min="8" max="8"/>
    <col width="44" customWidth="1" min="9" max="9"/>
    <col width="10" customWidth="1" min="10" max="10"/>
    <col width="10" customWidth="1" min="11" max="11"/>
    <col width="10" customWidth="1" min="12" max="12"/>
  </cols>
  <sheetData>
    <row r="1"/>
    <row r="2"/>
    <row r="3" ht="24" customHeight="1">
      <c r="C3" s="1" t="inlineStr">
        <is>
          <t>George — Asian Peptide Supplier Qualification</t>
        </is>
      </c>
      <c r="D3" s="2" t="n"/>
      <c r="E3" s="2" t="n"/>
      <c r="F3" s="2" t="n"/>
      <c r="G3" s="2" t="n"/>
      <c r="H3" s="2" t="n"/>
      <c r="I3" s="2" t="n"/>
      <c r="J3" s="2" t="n"/>
      <c r="K3" s="2" t="n"/>
      <c r="L3" s="2" t="n"/>
    </row>
    <row r="4"/>
    <row r="5">
      <c r="C5" s="3" t="inlineStr">
        <is>
          <t>Public-evidence screening converted into a controlled due-diligence programme</t>
        </is>
      </c>
    </row>
    <row r="6">
      <c r="C6" s="4" t="inlineStr">
        <is>
          <t>Decision date: 20 August 2026 | Not a supplier approval or SAHPRA authorization</t>
        </is>
      </c>
    </row>
    <row r="7"/>
    <row r="8">
      <c r="C8" s="5" t="inlineStr">
        <is>
          <t>DECISION SNAPSHOT</t>
        </is>
      </c>
      <c r="D8" s="5" t="n"/>
      <c r="E8" s="5" t="n"/>
      <c r="F8" s="5" t="n"/>
      <c r="G8" s="5" t="n"/>
      <c r="H8" s="5" t="n"/>
      <c r="I8" s="5" t="n"/>
      <c r="J8" s="5" t="n"/>
      <c r="K8" s="5" t="n"/>
      <c r="L8" s="5" t="n"/>
    </row>
    <row r="9"/>
    <row r="10">
      <c r="C10" s="6" t="inlineStr">
        <is>
          <t>Manufacturers screened</t>
        </is>
      </c>
      <c r="F10" s="6" t="inlineStr">
        <is>
          <t>Conditional Tier A</t>
        </is>
      </c>
      <c r="I10" s="6" t="inlineStr">
        <is>
          <t>Tier B manufacturers</t>
        </is>
      </c>
    </row>
    <row r="11">
      <c r="C11" s="7">
        <f>COUNTA('Manufacturer Screen'!C9:C18)</f>
        <v/>
      </c>
      <c r="F11" s="7">
        <f>COUNTIF('Manufacturer Screen'!P9:P18,"A")</f>
        <v/>
      </c>
      <c r="I11" s="7">
        <f>COUNTIF('Manufacturer Screen'!P9:P18,"B")</f>
        <v/>
      </c>
    </row>
    <row r="12">
      <c r="C12" s="8" t="inlineStr">
        <is>
          <t>10 entities</t>
        </is>
      </c>
      <c r="F12" s="8" t="inlineStr">
        <is>
          <t>RFI priority only</t>
        </is>
      </c>
      <c r="I12" s="8" t="inlineStr">
        <is>
          <t>Enhanced diligence required</t>
        </is>
      </c>
    </row>
    <row r="13"/>
    <row r="14">
      <c r="C14" s="6" t="inlineStr">
        <is>
          <t>Laboratories screened</t>
        </is>
      </c>
      <c r="F14" s="6" t="inlineStr">
        <is>
          <t>Open RFI items</t>
        </is>
      </c>
      <c r="I14" s="6" t="inlineStr">
        <is>
          <t>No-go risks</t>
        </is>
      </c>
    </row>
    <row r="15">
      <c r="C15" s="7">
        <f>COUNTA('Laboratory Screen'!C9:C12)</f>
        <v/>
      </c>
      <c r="F15" s="7">
        <f>COUNTIFS('RFI Tracker'!K9:K86,"&lt;&gt;Closed",'RFI Tracker'!K9:K86,"&lt;&gt;Not Applicable",'RFI Tracker'!K9:K86,"&lt;&gt;")</f>
        <v/>
      </c>
      <c r="I15" s="7">
        <f>COUNTIF('Risk &amp; No-Go'!L9:L28,"No-Go")</f>
        <v/>
      </c>
    </row>
    <row r="16">
      <c r="C16" s="8" t="inlineStr">
        <is>
          <t>4 sites/networks</t>
        </is>
      </c>
      <c r="F16" s="8" t="inlineStr">
        <is>
          <t>Live tracker</t>
        </is>
      </c>
      <c r="I16" s="8" t="inlineStr">
        <is>
          <t>Automatic hold criteria</t>
        </is>
      </c>
    </row>
    <row r="17"/>
    <row r="18"/>
    <row r="19">
      <c r="C19" s="5" t="inlineStr">
        <is>
          <t>FIRST-WAVE DECISIONS</t>
        </is>
      </c>
      <c r="D19" s="5" t="n"/>
      <c r="E19" s="5" t="n"/>
      <c r="F19" s="5" t="n"/>
      <c r="G19" s="5" t="n"/>
      <c r="H19" s="5" t="n"/>
      <c r="I19" s="5" t="n"/>
      <c r="J19" s="5" t="n"/>
      <c r="K19" s="5" t="n"/>
      <c r="L19" s="5" t="n"/>
    </row>
    <row r="20"/>
    <row r="21" ht="32" customHeight="1">
      <c r="C21" s="9" t="inlineStr">
        <is>
          <t>#</t>
        </is>
      </c>
      <c r="D21" s="9" t="inlineStr">
        <is>
          <t>Decision</t>
        </is>
      </c>
      <c r="E21" s="9" t="inlineStr">
        <is>
          <t>Required action</t>
        </is>
      </c>
      <c r="F21" s="9" t="inlineStr">
        <is>
          <t>Gate</t>
        </is>
      </c>
    </row>
    <row r="22">
      <c r="C22" s="10" t="inlineStr">
        <is>
          <t>1</t>
        </is>
      </c>
      <c r="D22" s="10" t="inlineStr">
        <is>
          <t>Issue manufacturer RFIs</t>
        </is>
      </c>
      <c r="E22" s="10" t="inlineStr">
        <is>
          <t>ScinoPharm, Hybio, Piramal and WuXi, plus one molecule-matched API comparator.</t>
        </is>
      </c>
      <c r="F22" s="10" t="inlineStr">
        <is>
          <t>RFI issuance only; no PO or supply award.</t>
        </is>
      </c>
    </row>
    <row r="23">
      <c r="C23" s="10" t="inlineStr">
        <is>
          <t>2</t>
        </is>
      </c>
      <c r="D23" s="10" t="inlineStr">
        <is>
          <t>Issue laboratory RFIs</t>
        </is>
      </c>
      <c r="E23" s="10" t="inlineStr">
        <is>
          <t>Vimta first; SGS Shanghai and Eurofins Kyoto/Kobe in parallel.</t>
        </is>
      </c>
      <c r="F23" s="10" t="inlineStr">
        <is>
          <t>Method/site qualification and blind split-sample exercise required.</t>
        </is>
      </c>
    </row>
    <row r="24">
      <c r="C24" s="10" t="inlineStr">
        <is>
          <t>3</t>
        </is>
      </c>
      <c r="D24" s="10" t="inlineStr">
        <is>
          <t>Keep Intertek bounded</t>
        </is>
      </c>
      <c r="E24" s="10" t="inlineStr">
        <is>
          <t>Do not use Mumbai as sole release laboratory on current evidence.</t>
        </is>
      </c>
      <c r="F24" s="10" t="inlineStr">
        <is>
          <t>Current verified accreditation scope is non-pharmaceutical.</t>
        </is>
      </c>
    </row>
    <row r="25">
      <c r="C25" s="10" t="inlineStr">
        <is>
          <t>4</t>
        </is>
      </c>
      <c r="D25" s="10" t="inlineStr">
        <is>
          <t>Commission SA regulatory gap review</t>
        </is>
      </c>
      <c r="E25" s="10" t="inlineStr">
        <is>
          <t>Fix applicant, importer, licences, dossier/LoA, testing/release, GDP, PV and recall roles.</t>
        </is>
      </c>
      <c r="F25" s="10" t="inlineStr">
        <is>
          <t>No commercial or registration shipment until lawful pathway is confirmed.</t>
        </is>
      </c>
    </row>
    <row r="26">
      <c r="C26" s="10" t="inlineStr">
        <is>
          <t>5</t>
        </is>
      </c>
      <c r="D26" s="10" t="inlineStr">
        <is>
          <t>Run 90-day qualification</t>
        </is>
      </c>
      <c r="E26" s="10" t="inlineStr">
        <is>
          <t>Document review, technical assessment, audits, laboratory exercise, CAPA and board decision.</t>
        </is>
      </c>
      <c r="F26" s="10" t="inlineStr">
        <is>
          <t>Re-score using confidential evidence; public scores expire at the decision board.</t>
        </is>
      </c>
    </row>
    <row r="27"/>
    <row r="28"/>
    <row r="29">
      <c r="C29" s="5" t="inlineStr">
        <is>
          <t>WORKBOOK CONTENTS</t>
        </is>
      </c>
      <c r="D29" s="5" t="n"/>
      <c r="E29" s="5" t="n"/>
      <c r="F29" s="5" t="n"/>
      <c r="G29" s="5" t="n"/>
      <c r="H29" s="5" t="n"/>
      <c r="I29" s="5" t="n"/>
      <c r="J29" s="5" t="n"/>
      <c r="K29" s="5" t="n"/>
      <c r="L29" s="5" t="n"/>
    </row>
    <row r="30"/>
    <row r="31">
      <c r="C31" s="11" t="inlineStr">
        <is>
          <t>Manufacturer Screen</t>
        </is>
      </c>
    </row>
    <row r="32">
      <c r="C32" s="11" t="inlineStr">
        <is>
          <t>Laboratory Screen</t>
        </is>
      </c>
    </row>
    <row r="33">
      <c r="C33" s="11" t="inlineStr">
        <is>
          <t>RFI Tracker</t>
        </is>
      </c>
    </row>
    <row r="34">
      <c r="C34" s="11" t="inlineStr">
        <is>
          <t>90-Day Plan</t>
        </is>
      </c>
    </row>
    <row r="35">
      <c r="C35" s="11" t="inlineStr">
        <is>
          <t>Risk &amp; No-Go</t>
        </is>
      </c>
    </row>
    <row r="36">
      <c r="C36" s="11" t="inlineStr">
        <is>
          <t>Source Register</t>
        </is>
      </c>
    </row>
    <row r="37"/>
    <row r="38"/>
    <row r="39">
      <c r="C39" s="5" t="inlineStr">
        <is>
          <t>USE AND CONTROL NOTE</t>
        </is>
      </c>
      <c r="D39" s="5" t="n"/>
      <c r="E39" s="5" t="n"/>
      <c r="F39" s="5" t="n"/>
      <c r="G39" s="5" t="n"/>
      <c r="H39" s="5" t="n"/>
      <c r="I39" s="5" t="n"/>
      <c r="J39" s="5" t="n"/>
      <c r="K39" s="5" t="n"/>
      <c r="L39" s="5" t="n"/>
    </row>
    <row r="40"/>
    <row r="41">
      <c r="C41" s="12" t="inlineStr">
        <is>
          <t>This workbook is a controlled prequalification tool. Tier and score results reflect public evidence only. No supplier, site, product, method, laboratory, batch or transport lane may be approved solely from this file. Final disposition requires regulator-verifiable primary documents, site and method audits, validated testing, quality/technical agreements, a lawful SAHPRA route and formal cross-functional approval.</t>
        </is>
      </c>
    </row>
    <row r="42"/>
    <row r="43"/>
    <row r="44"/>
  </sheetData>
  <mergeCells count="1">
    <mergeCell ref="C41:L44"/>
  </mergeCells>
  <hyperlinks>
    <hyperlink xmlns:r="http://schemas.openxmlformats.org/officeDocument/2006/relationships" ref="C31" r:id="rId1"/>
    <hyperlink xmlns:r="http://schemas.openxmlformats.org/officeDocument/2006/relationships" ref="C32" r:id="rId2"/>
    <hyperlink xmlns:r="http://schemas.openxmlformats.org/officeDocument/2006/relationships" ref="C33" r:id="rId3"/>
    <hyperlink xmlns:r="http://schemas.openxmlformats.org/officeDocument/2006/relationships" ref="C34" r:id="rId4"/>
    <hyperlink xmlns:r="http://schemas.openxmlformats.org/officeDocument/2006/relationships" ref="C35" r:id="rId5"/>
    <hyperlink xmlns:r="http://schemas.openxmlformats.org/officeDocument/2006/relationships" ref="C36" r:id="rId6"/>
  </hyperlinks>
  <pageMargins left="0.75" right="0.75" top="1" bottom="1" header="0.5" footer="0.5"/>
  <pageSetup orientation="landscape" fitToHeight="0" fitToWidth="1"/>
  <headerFooter>
    <oddHeader/>
    <oddFooter>&amp;C&amp;8 &amp;K666666Overview |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S29"/>
  <sheetViews>
    <sheetView showGridLines="0" view="pageBreakPreview" workbookViewId="0">
      <selection activeCell="A1" sqref="A1"/>
    </sheetView>
  </sheetViews>
  <sheetFormatPr baseColWidth="8" defaultRowHeight="15"/>
  <cols>
    <col width="20" customWidth="1" min="1" max="1"/>
    <col width="20" customWidth="1" min="2" max="2"/>
    <col width="48" customWidth="1" min="3" max="3"/>
    <col width="34" customWidth="1" min="4" max="4"/>
    <col width="48" customWidth="1" min="5" max="5"/>
    <col width="36" customWidth="1" min="6" max="6"/>
    <col width="48" customWidth="1" min="7" max="7"/>
    <col width="10" customWidth="1" min="8" max="8"/>
    <col width="12" customWidth="1" min="9" max="9"/>
    <col width="14" customWidth="1" min="10" max="10"/>
    <col width="11" customWidth="1" min="11" max="11"/>
    <col width="15" customWidth="1" min="12" max="12"/>
    <col width="17" customWidth="1" min="13" max="13"/>
    <col width="15" customWidth="1" min="14" max="14"/>
    <col width="10" customWidth="1" min="15" max="15"/>
    <col width="48" customWidth="1" min="16" max="16"/>
    <col width="46" customWidth="1" min="17" max="17"/>
    <col width="48" customWidth="1" min="18" max="18"/>
    <col width="48" customWidth="1" min="19" max="19"/>
  </cols>
  <sheetData>
    <row r="1"/>
    <row r="2"/>
    <row r="3" ht="24" customHeight="1">
      <c r="C3" s="1" t="inlineStr">
        <is>
          <t>Asian Peptide Manufacturer Screen</t>
        </is>
      </c>
      <c r="D3" s="2" t="n"/>
      <c r="E3" s="2" t="n"/>
      <c r="F3" s="2" t="n"/>
      <c r="G3" s="2" t="n"/>
      <c r="H3" s="2" t="n"/>
      <c r="I3" s="2" t="n"/>
      <c r="J3" s="2" t="n"/>
      <c r="K3" s="2" t="n"/>
      <c r="L3" s="2" t="n"/>
      <c r="M3" s="2" t="n"/>
      <c r="N3" s="2" t="n"/>
      <c r="O3" s="2" t="n"/>
      <c r="P3" s="2" t="n"/>
      <c r="Q3" s="2" t="n"/>
      <c r="R3" s="2" t="n"/>
      <c r="S3" s="2" t="n"/>
    </row>
    <row r="4"/>
    <row r="5">
      <c r="C5" s="3" t="inlineStr">
        <is>
          <t>Transparent 100-point public-evidence comparison; Tier A is diligence priority, not approval</t>
        </is>
      </c>
    </row>
    <row r="6">
      <c r="C6" s="4" t="inlineStr">
        <is>
          <t>Blue = hardcoded evidence input | Black = formula | Scores must be replaced after confidential diligence</t>
        </is>
      </c>
    </row>
    <row r="7"/>
    <row r="8" ht="32" customHeight="1">
      <c r="C8" s="9" t="inlineStr">
        <is>
          <t>ID</t>
        </is>
      </c>
      <c r="D8" s="9" t="inlineStr">
        <is>
          <t>Manufacturer</t>
        </is>
      </c>
      <c r="E8" s="9" t="inlineStr">
        <is>
          <t>Country</t>
        </is>
      </c>
      <c r="F8" s="9" t="inlineStr">
        <is>
          <t>Principal Site Chain</t>
        </is>
      </c>
      <c r="G8" s="9" t="inlineStr">
        <is>
          <t>Supply Level</t>
        </is>
      </c>
      <c r="H8" s="9" t="inlineStr">
        <is>
          <t>Reg 25</t>
        </is>
      </c>
      <c r="I8" s="9" t="inlineStr">
        <is>
          <t>Peptide 20</t>
        </is>
      </c>
      <c r="J8" s="9" t="inlineStr">
        <is>
          <t>Analyt/DI 15</t>
        </is>
      </c>
      <c r="K8" s="9" t="inlineStr">
        <is>
          <t>Market 15</t>
        </is>
      </c>
      <c r="L8" s="9" t="inlineStr">
        <is>
          <t>Resilience 15</t>
        </is>
      </c>
      <c r="M8" s="9" t="inlineStr">
        <is>
          <t>Transparency 10</t>
        </is>
      </c>
      <c r="N8" s="9" t="inlineStr">
        <is>
          <t>Total</t>
        </is>
      </c>
      <c r="O8" s="9" t="inlineStr">
        <is>
          <t>Override</t>
        </is>
      </c>
      <c r="P8" s="9" t="inlineStr">
        <is>
          <t>Tier</t>
        </is>
      </c>
      <c r="Q8" s="9" t="inlineStr">
        <is>
          <t>Evidenced Markets</t>
        </is>
      </c>
      <c r="R8" s="9" t="inlineStr">
        <is>
          <t>Adverse History / Unknowns</t>
        </is>
      </c>
      <c r="S8" s="9" t="inlineStr">
        <is>
          <t>Screening Decision</t>
        </is>
      </c>
    </row>
    <row r="9">
      <c r="C9" s="10" t="inlineStr">
        <is>
          <t>M01</t>
        </is>
      </c>
      <c r="D9" s="10" t="inlineStr">
        <is>
          <t>WuXi TIDES / WuXi STA (WuXi AppTec)</t>
        </is>
      </c>
      <c r="E9" s="10" t="inlineStr">
        <is>
          <t>China</t>
        </is>
      </c>
      <c r="F9" s="10" t="inlineStr">
        <is>
          <t>Changzhou and Taixing, Jiangsu (peptide API); Wuxi City, Jiangsu (sterile drug product)</t>
        </is>
      </c>
      <c r="G9" s="10" t="inlineStr">
        <is>
          <t>API/DS; separate sterile DP/fill-finish</t>
        </is>
      </c>
      <c r="H9" s="13" t="n">
        <v>19</v>
      </c>
      <c r="I9" s="13" t="n">
        <v>19</v>
      </c>
      <c r="J9" s="13" t="n">
        <v>11</v>
      </c>
      <c r="K9" s="13" t="n">
        <v>12</v>
      </c>
      <c r="L9" s="13" t="n">
        <v>6</v>
      </c>
      <c r="M9" s="13" t="n">
        <v>5</v>
      </c>
      <c r="N9" s="14">
        <f>SUM(H9:M9)</f>
        <v/>
      </c>
      <c r="O9" s="10" t="inlineStr">
        <is>
          <t>No</t>
        </is>
      </c>
      <c r="P9" s="15">
        <f>IF(O9="Critical","C",IF(N9&gt;=75,"A",IF(N9&gt;=55,"B","C")))</f>
        <v/>
      </c>
      <c r="Q9" s="10" t="inlineStr">
        <is>
          <t>United States (company-reported 2025 FDA surveillance/PAI); EU, Japan, South Korea, China and Brazil signals require primary-record confirmation; South Africa: Unknown</t>
        </is>
      </c>
      <c r="R9" s="10" t="inlineStr">
        <is>
          <t>Incomplete 2023 Wuxi 483 artifact; new Taixing ramp; June 2026 US Section 1260H designation remains under enjoined, pending litigation and is geopolitical, not a GMP finding.</t>
        </is>
      </c>
      <c r="S9" s="10" t="inlineStr">
        <is>
          <t>Enhanced RFI and separate API-versus-fill-finish audits; no award.</t>
        </is>
      </c>
    </row>
    <row r="10">
      <c r="C10" s="10" t="inlineStr">
        <is>
          <t>M02</t>
        </is>
      </c>
      <c r="D10" s="10" t="inlineStr">
        <is>
          <t>Sinopep-Allsino Biopharmaceutical Co., Ltd.</t>
        </is>
      </c>
      <c r="E10" s="10" t="inlineStr">
        <is>
          <t>China</t>
        </is>
      </c>
      <c r="F10" s="10" t="inlineStr">
        <is>
          <t>Lianyungang, Jiangsu (principal peptide API and claimed finished dose)</t>
        </is>
      </c>
      <c r="G10" s="10" t="inlineStr">
        <is>
          <t>API/DS strongest; sterile DP conditional; no device qualification</t>
        </is>
      </c>
      <c r="H10" s="13" t="n">
        <v>16</v>
      </c>
      <c r="I10" s="13" t="n">
        <v>18</v>
      </c>
      <c r="J10" s="13" t="n">
        <v>9</v>
      </c>
      <c r="K10" s="13" t="n">
        <v>10</v>
      </c>
      <c r="L10" s="13" t="n">
        <v>6</v>
      </c>
      <c r="M10" s="13" t="n">
        <v>3</v>
      </c>
      <c r="N10" s="14">
        <f>SUM(H10:M10)</f>
        <v/>
      </c>
      <c r="O10" s="10" t="inlineStr">
        <is>
          <t>No</t>
        </is>
      </c>
      <c r="P10" s="15">
        <f>IF(O10="Critical","C",IF(N10&gt;=75,"A",IF(N10&gt;=55,"B","C")))</f>
        <v/>
      </c>
      <c r="Q10" s="10" t="inlineStr">
        <is>
          <t>China; US FDA inspection/DMF evidence; issuer-reported sales to India/Canada and region-level Europe; PMDA list entry; MFDS/ANVISA claims unverified; South Africa: Unknown</t>
        </is>
      </c>
      <c r="R10" s="10" t="inlineStr">
        <is>
          <t>CSRC Decision [2025] 148 found materially false financial disclosure and imposed RMB47.4 million company fine; governance/data-reliability red flag, not a GMP finding.</t>
        </is>
      </c>
      <c r="S10" s="10" t="inlineStr">
        <is>
          <t>Enhanced RFI focused on API; governance remediation and raw-data audit are gates.</t>
        </is>
      </c>
    </row>
    <row r="11">
      <c r="C11" s="10" t="inlineStr">
        <is>
          <t>M03</t>
        </is>
      </c>
      <c r="D11" s="10" t="inlineStr">
        <is>
          <t>Hybio Pharmaceutical Co., Ltd.</t>
        </is>
      </c>
      <c r="E11" s="10" t="inlineStr">
        <is>
          <t>China</t>
        </is>
      </c>
      <c r="F11" s="10" t="inlineStr">
        <is>
          <t>Wuhan (peptide API); Pingshan, Shenzhen (sterile DP/prefilled pen)</t>
        </is>
      </c>
      <c r="G11" s="10" t="inlineStr">
        <is>
          <t>API/DS plus evidenced sterile/prefilled DP chain</t>
        </is>
      </c>
      <c r="H11" s="13" t="n">
        <v>21</v>
      </c>
      <c r="I11" s="13" t="n">
        <v>19</v>
      </c>
      <c r="J11" s="13" t="n">
        <v>10</v>
      </c>
      <c r="K11" s="13" t="n">
        <v>14</v>
      </c>
      <c r="L11" s="13" t="n">
        <v>6</v>
      </c>
      <c r="M11" s="13" t="n">
        <v>3</v>
      </c>
      <c r="N11" s="14">
        <f>SUM(H11:M11)</f>
        <v/>
      </c>
      <c r="O11" s="10" t="inlineStr">
        <is>
          <t>No</t>
        </is>
      </c>
      <c r="P11" s="15">
        <f>IF(O11="Critical","C",IF(N11&gt;=75,"A",IF(N11&gt;=55,"B","C")))</f>
        <v/>
      </c>
      <c r="Q11" s="10" t="inlineStr">
        <is>
          <t>US (FDA-approved liraglutide ANDA chain); China; EDQM/Europe API signal; Brazil; issuer-reported Chile, Pakistan, Indonesia, Thailand and Vietnam; South Africa: Unknown</t>
        </is>
      </c>
      <c r="R11" s="10" t="inlineStr">
        <is>
          <t>2019 somatostatin assay failure and disclosure delay; Spanish atosiban authorization revoked in 2024; unresolved 2025 customs penalty reference; device chain opaque.</t>
        </is>
      </c>
      <c r="S11" s="10" t="inlineStr">
        <is>
          <t>Priority enhanced RFI; audit API and sterile/device chain separately. Tier B because adverse-history closure and current certificates are unresolved.</t>
        </is>
      </c>
    </row>
    <row r="12">
      <c r="C12" s="10" t="inlineStr">
        <is>
          <t>M04</t>
        </is>
      </c>
      <c r="D12" s="10" t="inlineStr">
        <is>
          <t>CPC Scientific / Medtide (Hangzhou)</t>
        </is>
      </c>
      <c r="E12" s="10" t="inlineStr">
        <is>
          <t>China</t>
        </is>
      </c>
      <c r="F12" s="10" t="inlineStr">
        <is>
          <t>Qiantang, Hangzhou (commercial peptide API); Rocklin alternate not yet evidenced operational/approved</t>
        </is>
      </c>
      <c r="G12" s="10" t="inlineStr">
        <is>
          <t>API/DS only on public evidence</t>
        </is>
      </c>
      <c r="H12" s="13" t="n">
        <v>15</v>
      </c>
      <c r="I12" s="13" t="n">
        <v>18</v>
      </c>
      <c r="J12" s="13" t="n">
        <v>10</v>
      </c>
      <c r="K12" s="13" t="n">
        <v>12</v>
      </c>
      <c r="L12" s="13" t="n">
        <v>5</v>
      </c>
      <c r="M12" s="13" t="n">
        <v>3</v>
      </c>
      <c r="N12" s="14">
        <f>SUM(H12:M12)</f>
        <v/>
      </c>
      <c r="O12" s="10" t="inlineStr">
        <is>
          <t>No</t>
        </is>
      </c>
      <c r="P12" s="15">
        <f>IF(O12="Critical","C",IF(N12&gt;=75,"A",IF(N12&gt;=55,"B","C")))</f>
        <v/>
      </c>
      <c r="Q12" s="10" t="inlineStr">
        <is>
          <t>US; China; company-reported Germany/EU, Australia and South Korea; South Africa: Unknown</t>
        </is>
      </c>
      <c r="R12" s="10" t="inlineStr">
        <is>
          <t>2012 FDA registration/listing warning letter; 2024 validation/equipment-qualification observations; 2026 483 contents/classification unavailable.</t>
        </is>
      </c>
      <c r="S12" s="10" t="inlineStr">
        <is>
          <t>RFI only; full 2024/2026 FDA packages and remediation effectiveness are hard gates.</t>
        </is>
      </c>
    </row>
    <row r="13">
      <c r="C13" s="10" t="inlineStr">
        <is>
          <t>M05</t>
        </is>
      </c>
      <c r="D13" s="10" t="inlineStr">
        <is>
          <t>Piramal Pharma Solutions, Turbhe</t>
        </is>
      </c>
      <c r="E13" s="10" t="inlineStr">
        <is>
          <t>India</t>
        </is>
      </c>
      <c r="F13" s="10" t="inlineStr">
        <is>
          <t>Turbhe, Navi Mumbai (peptide API); Lexington, US is separate sterile DP site</t>
        </is>
      </c>
      <c r="G13" s="10" t="inlineStr">
        <is>
          <t>API/DS; Turbhe is not evidenced as sterile DP</t>
        </is>
      </c>
      <c r="H13" s="13" t="n">
        <v>21</v>
      </c>
      <c r="I13" s="13" t="n">
        <v>17</v>
      </c>
      <c r="J13" s="13" t="n">
        <v>9</v>
      </c>
      <c r="K13" s="13" t="n">
        <v>13</v>
      </c>
      <c r="L13" s="13" t="n">
        <v>6</v>
      </c>
      <c r="M13" s="13" t="n">
        <v>4</v>
      </c>
      <c r="N13" s="14">
        <f>SUM(H13:M13)</f>
        <v/>
      </c>
      <c r="O13" s="10" t="inlineStr">
        <is>
          <t>No</t>
        </is>
      </c>
      <c r="P13" s="15">
        <f>IF(O13="Critical","C",IF(N13&gt;=75,"A",IF(N13&gt;=55,"B","C")))</f>
        <v/>
      </c>
      <c r="Q13" s="10" t="inlineStr">
        <is>
          <t>US inspection/supply evidence; WHO-prequalified oxytocin and carbetocin API; EDQM-linked oxytocin evidence; South Africa: no Turbhe-specific linkage found</t>
        </is>
      </c>
      <c r="R13" s="10" t="inlineStr">
        <is>
          <t>Six FDA observations included quality-unit, repeated deviation, complaint, cleaning, batch-record and temperature-control deficiencies.</t>
        </is>
      </c>
      <c r="S13" s="10" t="inlineStr">
        <is>
          <t>Priority RFI for WHO-backed products; require FDA CAPA effectiveness and lane challenge before audit closure.</t>
        </is>
      </c>
    </row>
    <row r="14">
      <c r="C14" s="10" t="inlineStr">
        <is>
          <t>M06</t>
        </is>
      </c>
      <c r="D14" s="10" t="inlineStr">
        <is>
          <t>Shilpa Pharma Lifesciences / Shilpa Medicare</t>
        </is>
      </c>
      <c r="E14" s="10" t="inlineStr">
        <is>
          <t>India</t>
        </is>
      </c>
      <c r="F14" s="10" t="inlineStr">
        <is>
          <t>Raichur Units I/II (API); Jadcherla Unit IV (separate finished dose)</t>
        </is>
      </c>
      <c r="G14" s="10" t="inlineStr">
        <is>
          <t>API/DS; sterile DP not peptide-qualified and enforcement-affected</t>
        </is>
      </c>
      <c r="H14" s="13" t="n">
        <v>17</v>
      </c>
      <c r="I14" s="13" t="n">
        <v>16</v>
      </c>
      <c r="J14" s="13" t="n">
        <v>8</v>
      </c>
      <c r="K14" s="13" t="n">
        <v>11</v>
      </c>
      <c r="L14" s="13" t="n">
        <v>6</v>
      </c>
      <c r="M14" s="13" t="n">
        <v>4</v>
      </c>
      <c r="N14" s="14">
        <f>SUM(H14:M14)</f>
        <v/>
      </c>
      <c r="O14" s="10" t="inlineStr">
        <is>
          <t>No</t>
        </is>
      </c>
      <c r="P14" s="15">
        <f>IF(O14="Critical","C",IF(N14&gt;=75,"A",IF(N14&gt;=55,"B","C")))</f>
        <v/>
      </c>
      <c r="Q14" s="10" t="inlineStr">
        <is>
          <t>EDQM CEP signals for desmopressin/octreotide; US inspection/DMF claim; Japan and Brazil inspection signals; South Africa: Unknown</t>
        </is>
      </c>
      <c r="R14" s="10" t="inlineStr">
        <is>
          <t>Raichur Unit I 2025 VAI; Jadcherla finished-dose 2020 FDA warning letter and unresolved public Import Alert 66-40 status.</t>
        </is>
      </c>
      <c r="S14" s="10" t="inlineStr">
        <is>
          <t>RFI for a CEP-backed API only; exclude Jadcherla from proposed chain absent verified enforcement closure and peptide-specific qualification.</t>
        </is>
      </c>
    </row>
    <row r="15">
      <c r="C15" s="10" t="inlineStr">
        <is>
          <t>M07</t>
        </is>
      </c>
      <c r="D15" s="10" t="inlineStr">
        <is>
          <t>PeptiStar Inc.</t>
        </is>
      </c>
      <c r="E15" s="10" t="inlineStr">
        <is>
          <t>Japan</t>
        </is>
      </c>
      <c r="F15" s="10" t="inlineStr">
        <is>
          <t>Settsu, Osaka single campus (R&amp;D and Manufacturing Buildings 1/2)</t>
        </is>
      </c>
      <c r="G15" s="10" t="inlineStr">
        <is>
          <t>Non-sterile API/DS only</t>
        </is>
      </c>
      <c r="H15" s="13" t="n">
        <v>11</v>
      </c>
      <c r="I15" s="13" t="n">
        <v>17</v>
      </c>
      <c r="J15" s="13" t="n">
        <v>10</v>
      </c>
      <c r="K15" s="13" t="n">
        <v>5</v>
      </c>
      <c r="L15" s="13" t="n">
        <v>7</v>
      </c>
      <c r="M15" s="13" t="n">
        <v>6</v>
      </c>
      <c r="N15" s="14">
        <f>SUM(H15:M15)</f>
        <v/>
      </c>
      <c r="O15" s="10" t="inlineStr">
        <is>
          <t>No</t>
        </is>
      </c>
      <c r="P15" s="15">
        <f>IF(O15="Critical","C",IF(N15&gt;=75,"A",IF(N15&gt;=55,"B","C")))</f>
        <v/>
      </c>
      <c r="Q15" s="10" t="inlineStr">
        <is>
          <t>No specific regulated therapeutic country/site/product linkage publicly evidenced; South Africa: Unknown</t>
        </is>
      </c>
      <c r="R15" s="10" t="inlineStr">
        <is>
          <t>No public enforcement located, but absence is not proof of a clean history; ownership/control and commercial batch history are incomplete.</t>
        </is>
      </c>
      <c r="S15" s="10" t="inlineStr">
        <is>
          <t>Confidential RFI and audit candidate only after Japanese licence/GMP and customer-authorized dossier evidence.</t>
        </is>
      </c>
    </row>
    <row r="16">
      <c r="C16" s="10" t="inlineStr">
        <is>
          <t>M08</t>
        </is>
      </c>
      <c r="D16" s="10" t="inlineStr">
        <is>
          <t>Ajinomoto Bio-Pharma Services (Japan)</t>
        </is>
      </c>
      <c r="E16" s="10" t="inlineStr">
        <is>
          <t>Japan</t>
        </is>
      </c>
      <c r="F16" s="10" t="inlineStr">
        <is>
          <t>Tokai, Mie (candidate AJIPHASE); Osaka/GeneDesign; Kawasaki is separate API/R&amp;D context</t>
        </is>
      </c>
      <c r="G16" s="10" t="inlineStr">
        <is>
          <t>API/DS platform; no current in-group sterile DP</t>
        </is>
      </c>
      <c r="H16" s="13" t="n">
        <v>12</v>
      </c>
      <c r="I16" s="13" t="n">
        <v>18</v>
      </c>
      <c r="J16" s="13" t="n">
        <v>8</v>
      </c>
      <c r="K16" s="13" t="n">
        <v>5</v>
      </c>
      <c r="L16" s="13" t="n">
        <v>7</v>
      </c>
      <c r="M16" s="13" t="n">
        <v>5</v>
      </c>
      <c r="N16" s="14">
        <f>SUM(H16:M16)</f>
        <v/>
      </c>
      <c r="O16" s="10" t="inlineStr">
        <is>
          <t>No</t>
        </is>
      </c>
      <c r="P16" s="15">
        <f>IF(O16="Critical","C",IF(N16&gt;=75,"A",IF(N16&gt;=55,"B","C")))</f>
        <v/>
      </c>
      <c r="Q16" s="10" t="inlineStr">
        <is>
          <t>No named therapeutic-peptide market linked to Tokai/Osaka; US AJIPHASE approval disclosure appears oligonucleotide; South Africa: Unknown</t>
        </is>
      </c>
      <c r="R16" s="10" t="inlineStr">
        <is>
          <t>Kawasaki 2025 FDA 483/VAI signal for investigations, document control and material compatibility; not automatically attributable to Tokai/Osaka.</t>
        </is>
      </c>
      <c r="S16" s="10" t="inlineStr">
        <is>
          <t>Technology-fit RFI only; require precise legal/site flow and independently verified GMP evidence before audit.</t>
        </is>
      </c>
    </row>
    <row r="17">
      <c r="C17" s="10" t="inlineStr">
        <is>
          <t>M09</t>
        </is>
      </c>
      <c r="D17" s="10" t="inlineStr">
        <is>
          <t>HLB PEP Co., Ltd.</t>
        </is>
      </c>
      <c r="E17" s="10" t="inlineStr">
        <is>
          <t>South Korea</t>
        </is>
      </c>
      <c r="F17" s="10" t="inlineStr">
        <is>
          <t>Jangseong Plant 1 and Osong Plant 2 (peptide API); Gwangju is non-GMP/pilot</t>
        </is>
      </c>
      <c r="G17" s="10" t="inlineStr">
        <is>
          <t>API/DS only</t>
        </is>
      </c>
      <c r="H17" s="13" t="n">
        <v>16</v>
      </c>
      <c r="I17" s="13" t="n">
        <v>15</v>
      </c>
      <c r="J17" s="13" t="n">
        <v>8</v>
      </c>
      <c r="K17" s="13" t="n">
        <v>10</v>
      </c>
      <c r="L17" s="13" t="n">
        <v>6</v>
      </c>
      <c r="M17" s="13" t="n">
        <v>3</v>
      </c>
      <c r="N17" s="14">
        <f>SUM(H17:M17)</f>
        <v/>
      </c>
      <c r="O17" s="10" t="inlineStr">
        <is>
          <t>No</t>
        </is>
      </c>
      <c r="P17" s="15">
        <f>IF(O17="Critical","C",IF(N17&gt;=75,"A",IF(N17&gt;=55,"B","C")))</f>
        <v/>
      </c>
      <c r="Q17" s="10" t="inlineStr">
        <is>
          <t>South Korea; active US Type II DMFs; reported Japan recognition and historical India export authorization; South Africa: Unknown</t>
        </is>
      </c>
      <c r="R17" s="10" t="inlineStr">
        <is>
          <t>Confirmed 2025 one-month MFDS suspension for missing 2022/2023 APQRs on two Jangseong products; closure/effectiveness package unavailable.</t>
        </is>
      </c>
      <c r="S17" s="10" t="inlineStr">
        <is>
          <t>RFI for a defined API only; APQR retrospective impact assessment and MFDS closure are hard gates.</t>
        </is>
      </c>
    </row>
    <row r="18">
      <c r="C18" s="10" t="inlineStr">
        <is>
          <t>M10</t>
        </is>
      </c>
      <c r="D18" s="10" t="inlineStr">
        <is>
          <t>ScinoPharm Taiwan, Ltd.</t>
        </is>
      </c>
      <c r="E18" s="10" t="inlineStr">
        <is>
          <t>Taiwan</t>
        </is>
      </c>
      <c r="F18" s="10" t="inlineStr">
        <is>
          <t>Tainan (peptide API, sterile fill-finish, packaging and cold-chain GDP); Changshu, China is separate</t>
        </is>
      </c>
      <c r="G18" s="10" t="inlineStr">
        <is>
          <t>API/DS plus TFDA-evidenced sterile DP and packaging</t>
        </is>
      </c>
      <c r="H18" s="13" t="n">
        <v>23</v>
      </c>
      <c r="I18" s="13" t="n">
        <v>18</v>
      </c>
      <c r="J18" s="13" t="n">
        <v>11</v>
      </c>
      <c r="K18" s="13" t="n">
        <v>14</v>
      </c>
      <c r="L18" s="13" t="n">
        <v>7</v>
      </c>
      <c r="M18" s="13" t="n">
        <v>6</v>
      </c>
      <c r="N18" s="14">
        <f>SUM(H18:M18)</f>
        <v/>
      </c>
      <c r="O18" s="10" t="inlineStr">
        <is>
          <t>No</t>
        </is>
      </c>
      <c r="P18" s="15">
        <f>IF(O18="Critical","C",IF(N18&gt;=75,"A",IF(N18&gt;=55,"B","C")))</f>
        <v/>
      </c>
      <c r="Q18" s="10" t="inlineStr">
        <is>
          <t>United States (ANDA-linked glatiramer PFS); Taiwan; historical/current signals for Europe, Japan and Brazil; South Africa: Unknown</t>
        </is>
      </c>
      <c r="R18" s="10" t="inlineStr">
        <is>
          <t>Historical 2012 VAI reported secondarily and 2015 FDA 483/EIR indexed; current primary FDA classifications/CAPA not reviewed.</t>
        </is>
      </c>
      <c r="S18" s="10" t="inlineStr">
        <is>
          <t>Tier A for RFI priority only, conditional on historical FDA package, site genealogy, sterile assurance, supplier map and SAHPRA pathway.</t>
        </is>
      </c>
    </row>
    <row r="19"/>
    <row r="20"/>
    <row r="21">
      <c r="C21" s="5" t="inlineStr">
        <is>
          <t>SCORING WEIGHTS AND INTERPRETATION</t>
        </is>
      </c>
      <c r="D21" s="5" t="n"/>
      <c r="E21" s="5" t="n"/>
      <c r="F21" s="5" t="n"/>
      <c r="G21" s="5" t="n"/>
      <c r="H21" s="5" t="n"/>
      <c r="I21" s="5" t="n"/>
      <c r="J21" s="5" t="n"/>
      <c r="K21" s="5" t="n"/>
      <c r="L21" s="5" t="n"/>
      <c r="M21" s="5" t="n"/>
      <c r="N21" s="5" t="n"/>
      <c r="O21" s="5" t="n"/>
      <c r="P21" s="5" t="n"/>
      <c r="Q21" s="5" t="n"/>
      <c r="R21" s="5" t="n"/>
      <c r="S21" s="5" t="n"/>
    </row>
    <row r="22"/>
    <row r="23" ht="32" customHeight="1">
      <c r="C23" s="9" t="inlineStr">
        <is>
          <t>Criterion</t>
        </is>
      </c>
      <c r="D23" s="9" t="inlineStr">
        <is>
          <t>Weight</t>
        </is>
      </c>
      <c r="E23" s="9" t="inlineStr">
        <is>
          <t>Interpretation</t>
        </is>
      </c>
    </row>
    <row r="24">
      <c r="C24" s="10" t="inlineStr">
        <is>
          <t>Regulatory/site evidence</t>
        </is>
      </c>
      <c r="D24" s="10" t="n">
        <v>25</v>
      </c>
      <c r="E24" s="10" t="inlineStr">
        <is>
          <t>Exact legal entity, address, current licences/certificates, inspections, product/site scope and closure status.</t>
        </is>
      </c>
    </row>
    <row r="25">
      <c r="C25" s="10" t="inlineStr">
        <is>
          <t>Peptide capability</t>
        </is>
      </c>
      <c r="D25" s="10" t="n">
        <v>20</v>
      </c>
      <c r="E25" s="10" t="inlineStr">
        <is>
          <t>Therapeutic GMP API/DS evidence; synthesis, purification, isolation and scale; sterile/device separately evidenced.</t>
        </is>
      </c>
    </row>
    <row r="26">
      <c r="C26" s="10" t="inlineStr">
        <is>
          <t>Analytical/data integrity</t>
        </is>
      </c>
      <c r="D26" s="10" t="n">
        <v>15</v>
      </c>
      <c r="E26" s="10" t="inlineStr">
        <is>
          <t>Peptide control strategy, validation, reference standards, OOS/OOT/CAPA, audit trails and raw-data governance.</t>
        </is>
      </c>
    </row>
    <row r="27">
      <c r="C27" s="10" t="inlineStr">
        <is>
          <t>Regulated-market/export</t>
        </is>
      </c>
      <c r="D27" s="10" t="n">
        <v>15</v>
      </c>
      <c r="E27" s="10" t="inlineStr">
        <is>
          <t>Named product/dossier/label/CEP/WHO linkage outweighs registration, filing or generic export claims.</t>
        </is>
      </c>
    </row>
    <row r="28">
      <c r="C28" s="10" t="inlineStr">
        <is>
          <t>Resilience/traceability</t>
        </is>
      </c>
      <c r="D28" s="10" t="n">
        <v>15</v>
      </c>
      <c r="E28" s="10" t="inlineStr">
        <is>
          <t>Site/train redundancy, critical-material genealogy, dual sourcing, subcontractor visibility and qualified lanes.</t>
        </is>
      </c>
    </row>
    <row r="29">
      <c r="C29" s="10" t="inlineStr">
        <is>
          <t>Transparency/adverse response</t>
        </is>
      </c>
      <c r="D29" s="10" t="n">
        <v>10</v>
      </c>
      <c r="E29" s="10" t="inlineStr">
        <is>
          <t>Complete records, root cause, CAPA effectiveness, recurrence prevention and consistent claims.</t>
        </is>
      </c>
    </row>
  </sheetData>
  <autoFilter ref="C8:S18"/>
  <conditionalFormatting sqref="N9:N18">
    <cfRule type="cellIs" priority="1" operator="greaterThanOrEqual" dxfId="0">
      <formula>75</formula>
    </cfRule>
    <cfRule type="cellIs" priority="2" operator="between" dxfId="1">
      <formula>55</formula>
      <formula>74</formula>
    </cfRule>
    <cfRule type="cellIs" priority="3" operator="lessThan" dxfId="2">
      <formula>55</formula>
    </cfRule>
  </conditionalFormatting>
  <conditionalFormatting sqref="P9:P18">
    <cfRule type="expression" priority="4" dxfId="0">
      <formula>P9="A"</formula>
    </cfRule>
    <cfRule type="expression" priority="5" dxfId="1">
      <formula>P9="B"</formula>
    </cfRule>
    <cfRule type="expression" priority="6" dxfId="2">
      <formula>P9="C"</formula>
    </cfRule>
  </conditionalFormatting>
  <dataValidations count="1">
    <dataValidation sqref="O9:O100" showDropDown="0" showInputMessage="0" showErrorMessage="0" allowBlank="0" type="list">
      <formula1>"No,Conditional,Critical"</formula1>
    </dataValidation>
  </dataValidations>
  <pageMargins left="0.75" right="0.75" top="1" bottom="1" header="0.5" footer="0.5"/>
  <pageSetup orientation="landscape" fitToHeight="0" fitToWidth="1"/>
  <headerFooter>
    <oddHeader/>
    <oddFooter>&amp;C&amp;8 &amp;K666666Manufacturer Screen | Page &amp;P of &amp;N</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P25"/>
  <sheetViews>
    <sheetView showGridLines="0" view="pageBreakPreview" workbookViewId="0">
      <selection activeCell="A1" sqref="A1"/>
    </sheetView>
  </sheetViews>
  <sheetFormatPr baseColWidth="8" defaultRowHeight="15"/>
  <cols>
    <col width="20" customWidth="1" min="1" max="1"/>
    <col width="20" customWidth="1" min="2" max="2"/>
    <col width="48" customWidth="1" min="3" max="3"/>
    <col width="38" customWidth="1" min="4" max="4"/>
    <col width="10" customWidth="1" min="5" max="5"/>
    <col width="34" customWidth="1" min="6" max="6"/>
    <col width="10" customWidth="1" min="7" max="7"/>
    <col width="10" customWidth="1" min="8" max="8"/>
    <col width="46" customWidth="1" min="9" max="9"/>
    <col width="48" customWidth="1" min="10" max="10"/>
    <col width="42" customWidth="1" min="11" max="11"/>
    <col width="22" customWidth="1" min="12" max="12"/>
    <col width="11" customWidth="1" min="13" max="13"/>
    <col width="14" customWidth="1" min="14" max="14"/>
    <col width="21" customWidth="1" min="15" max="15"/>
    <col width="19" customWidth="1" min="16" max="16"/>
  </cols>
  <sheetData>
    <row r="1"/>
    <row r="2"/>
    <row r="3" ht="24" customHeight="1">
      <c r="C3" s="1" t="inlineStr">
        <is>
          <t>Independent Laboratory Qualification Screen</t>
        </is>
      </c>
      <c r="D3" s="2" t="n"/>
      <c r="E3" s="2" t="n"/>
      <c r="F3" s="2" t="n"/>
      <c r="G3" s="2" t="n"/>
      <c r="H3" s="2" t="n"/>
      <c r="I3" s="2" t="n"/>
      <c r="J3" s="2" t="n"/>
      <c r="K3" s="2" t="n"/>
      <c r="L3" s="2" t="n"/>
      <c r="M3" s="2" t="n"/>
      <c r="N3" s="2" t="n"/>
      <c r="O3" s="2" t="n"/>
      <c r="P3" s="2" t="n"/>
    </row>
    <row r="4"/>
    <row r="5">
      <c r="C5" s="3" t="inlineStr">
        <is>
          <t>Each site and method requires primary-scope verification, audit, method qualification and split-sample evidence</t>
        </is>
      </c>
    </row>
    <row r="6">
      <c r="C6" s="4" t="inlineStr">
        <is>
          <t>No third-party laboratory substitutes for manufacturer GMP, registered specifications or authorized batch release</t>
        </is>
      </c>
    </row>
    <row r="7"/>
    <row r="8" ht="32" customHeight="1">
      <c r="C8" s="9" t="inlineStr">
        <is>
          <t>ID</t>
        </is>
      </c>
      <c r="D8" s="9" t="inlineStr">
        <is>
          <t>Laboratory</t>
        </is>
      </c>
      <c r="E8" s="9" t="inlineStr">
        <is>
          <t>Country</t>
        </is>
      </c>
      <c r="F8" s="9" t="inlineStr">
        <is>
          <t>Site</t>
        </is>
      </c>
      <c r="G8" s="9" t="inlineStr">
        <is>
          <t>Score</t>
        </is>
      </c>
      <c r="H8" s="9" t="inlineStr">
        <is>
          <t>Tier</t>
        </is>
      </c>
      <c r="I8" s="9" t="inlineStr">
        <is>
          <t>Verified Evidence Boundary</t>
        </is>
      </c>
      <c r="J8" s="9" t="inlineStr">
        <is>
          <t>Peptide-Relevant Methods</t>
        </is>
      </c>
      <c r="K8" s="9" t="inlineStr">
        <is>
          <t>Preliminary Role</t>
        </is>
      </c>
      <c r="L8" s="9" t="inlineStr">
        <is>
          <t>Qualification Status</t>
        </is>
      </c>
      <c r="M8" s="9" t="inlineStr">
        <is>
          <t>RFI Owner</t>
        </is>
      </c>
      <c r="N8" s="9" t="inlineStr">
        <is>
          <t>Audit Status</t>
        </is>
      </c>
      <c r="O8" s="9" t="inlineStr">
        <is>
          <t>Split-Sample Result</t>
        </is>
      </c>
      <c r="P8" s="9" t="inlineStr">
        <is>
          <t>Final Disposition</t>
        </is>
      </c>
    </row>
    <row r="9">
      <c r="C9" s="10" t="inlineStr">
        <is>
          <t>L01</t>
        </is>
      </c>
      <c r="D9" s="10" t="inlineStr">
        <is>
          <t>SGS Shanghai Health Science Laboratory</t>
        </is>
      </c>
      <c r="E9" s="10" t="inlineStr">
        <is>
          <t>China</t>
        </is>
      </c>
      <c r="F9" s="10" t="inlineStr">
        <is>
          <t>Yishan Road, Shanghai</t>
        </is>
      </c>
      <c r="G9" s="13" t="n">
        <v>66</v>
      </c>
      <c r="H9" s="10" t="inlineStr">
        <is>
          <t>B</t>
        </is>
      </c>
      <c r="I9" s="10" t="inlineStr">
        <is>
          <t>CMA certificate includes site through 2029; claimed ISO/IEC 17025/CNAS scope annex not obtained; company reports 2024 FDA inspection with no 483, but official EIR/classification unavailable.</t>
        </is>
      </c>
      <c r="J9" s="10" t="inlineStr">
        <is>
          <t>Strong conditional E&amp;L; potential LC-MS, HPLC/UPLC, residual solvents, elemental impurities, microbiology and sterility. Water, counter-ion, particulates, CCI and excursions not site-verified.</t>
        </is>
      </c>
      <c r="K9" s="10" t="inlineStr">
        <is>
          <t>Specialist/conditional RFI; not sole release laboratory.</t>
        </is>
      </c>
      <c r="L9" s="10" t="inlineStr">
        <is>
          <t>Not Started</t>
        </is>
      </c>
      <c r="M9" s="10" t="inlineStr"/>
      <c r="N9" s="10" t="inlineStr">
        <is>
          <t>Not Started</t>
        </is>
      </c>
      <c r="O9" s="10" t="inlineStr">
        <is>
          <t>Not Run</t>
        </is>
      </c>
      <c r="P9" s="10" t="inlineStr">
        <is>
          <t>Hold</t>
        </is>
      </c>
    </row>
    <row r="10">
      <c r="C10" s="10" t="inlineStr">
        <is>
          <t>L02</t>
        </is>
      </c>
      <c r="D10" s="10" t="inlineStr">
        <is>
          <t>Eurofins Analytical Science Laboratories, Kyoto and Kobe</t>
        </is>
      </c>
      <c r="E10" s="10" t="inlineStr">
        <is>
          <t>Japan</t>
        </is>
      </c>
      <c r="F10" s="10" t="inlineStr">
        <is>
          <t>Kyoto and Kobe, Japan</t>
        </is>
      </c>
      <c r="G10" s="13" t="n">
        <v>64</v>
      </c>
      <c r="H10" s="10" t="inlineStr">
        <is>
          <t>B</t>
        </is>
      </c>
      <c r="I10" s="10" t="inlineStr">
        <is>
          <t>PMDA 2024 Kyoto compliant result for undisclosed application scope; Kyoto FDA 2024 Form 483 unresolved; no site ISO 17025 scope verified; Kobe authority unknown.</t>
        </is>
      </c>
      <c r="J10" s="10" t="inlineStr">
        <is>
          <t>Broad LC-MS sequence/identity, HPLC/UPLC, GC, KF, ICP, microbiology/sterility, particulates, stability, CCI and E&amp;L potential; exact site/method allocation required.</t>
        </is>
      </c>
      <c r="K10" s="10" t="inlineStr">
        <is>
          <t>Specialist/conditional; site- and method-specific audit required.</t>
        </is>
      </c>
      <c r="L10" s="10" t="inlineStr">
        <is>
          <t>Not Started</t>
        </is>
      </c>
      <c r="M10" s="10" t="inlineStr"/>
      <c r="N10" s="10" t="inlineStr">
        <is>
          <t>Not Started</t>
        </is>
      </c>
      <c r="O10" s="10" t="inlineStr">
        <is>
          <t>Not Run</t>
        </is>
      </c>
      <c r="P10" s="10" t="inlineStr">
        <is>
          <t>Hold</t>
        </is>
      </c>
    </row>
    <row r="11">
      <c r="C11" s="10" t="inlineStr">
        <is>
          <t>L03</t>
        </is>
      </c>
      <c r="D11" s="10" t="inlineStr">
        <is>
          <t>Vimta Labs Limited, Life Sciences Facility</t>
        </is>
      </c>
      <c r="E11" s="10" t="inlineStr">
        <is>
          <t>India</t>
        </is>
      </c>
      <c r="F11" s="10" t="inlineStr">
        <is>
          <t>Genome Valley, Hyderabad</t>
        </is>
      </c>
      <c r="G11" s="13" t="n">
        <v>70</v>
      </c>
      <c r="H11" s="10" t="inlineStr">
        <is>
          <t>B</t>
        </is>
      </c>
      <c r="I11" s="10" t="inlineStr">
        <is>
          <t>Current NABL ISO/IEC 17025 certificate through 2028 but annex absent; current WHO-prequalified QCL listing; exact-site FDA 2023 VAI; veterinary GMP stability scope through 2027.</t>
        </is>
      </c>
      <c r="J11" s="10" t="inlineStr">
        <is>
          <t>Strong conditional LC-MS/intact mass, HPLC/UPLC/SEC, elemental, microbiology, sterility, endotoxin, particulates and stability. CCI/excursion not verified.</t>
        </is>
      </c>
      <c r="K11" s="10" t="inlineStr">
        <is>
          <t>Priority laboratory RFI; blind split-sample qualification before use.</t>
        </is>
      </c>
      <c r="L11" s="10" t="inlineStr">
        <is>
          <t>Not Started</t>
        </is>
      </c>
      <c r="M11" s="10" t="inlineStr"/>
      <c r="N11" s="10" t="inlineStr">
        <is>
          <t>Not Started</t>
        </is>
      </c>
      <c r="O11" s="10" t="inlineStr">
        <is>
          <t>Not Run</t>
        </is>
      </c>
      <c r="P11" s="10" t="inlineStr">
        <is>
          <t>Hold</t>
        </is>
      </c>
    </row>
    <row r="12">
      <c r="C12" s="10" t="inlineStr">
        <is>
          <t>L04</t>
        </is>
      </c>
      <c r="D12" s="10" t="inlineStr">
        <is>
          <t>Intertek Pharmaceutical Services India, Mumbai</t>
        </is>
      </c>
      <c r="E12" s="10" t="inlineStr">
        <is>
          <t>India</t>
        </is>
      </c>
      <c r="F12" s="10" t="inlineStr">
        <is>
          <t>Tex Centre, Andheri East, Mumbai</t>
        </is>
      </c>
      <c r="G12" s="13" t="n">
        <v>46</v>
      </c>
      <c r="H12" s="10" t="inlineStr">
        <is>
          <t>C</t>
        </is>
      </c>
      <c r="I12" s="10" t="inlineStr">
        <is>
          <t>Current IAS ISO 17025 scope is environmental, not pharmaceutical; prior NABL scope expired and was non-pharma; claimed MH-FDA approval lacks primary certificate; no FDA site record verified.</t>
        </is>
      </c>
      <c r="J12" s="10" t="inlineStr">
        <is>
          <t>Marketing-supported HPLC, LC-MS/MS, GC, ICP, stability and E&amp;L research potential, but required peptide and microbiology methods lack current site-specific regulated scope.</t>
        </is>
      </c>
      <c r="K12" s="10" t="inlineStr">
        <is>
          <t>Do not use as sole release lab; RFI only for bounded specialist research pending primary licences/scopes.</t>
        </is>
      </c>
      <c r="L12" s="10" t="inlineStr">
        <is>
          <t>Not Started</t>
        </is>
      </c>
      <c r="M12" s="10" t="inlineStr"/>
      <c r="N12" s="10" t="inlineStr">
        <is>
          <t>Not Started</t>
        </is>
      </c>
      <c r="O12" s="10" t="inlineStr">
        <is>
          <t>Not Run</t>
        </is>
      </c>
      <c r="P12" s="10" t="inlineStr">
        <is>
          <t>Hold</t>
        </is>
      </c>
    </row>
    <row r="13"/>
    <row r="14"/>
    <row r="15">
      <c r="C15" s="5" t="inlineStr">
        <is>
          <t>MINIMUM METHOD-QUALIFICATION DOMAINS</t>
        </is>
      </c>
      <c r="D15" s="5" t="n"/>
      <c r="E15" s="5" t="n"/>
      <c r="F15" s="5" t="n"/>
      <c r="G15" s="5" t="n"/>
      <c r="H15" s="5" t="n"/>
      <c r="I15" s="5" t="n"/>
      <c r="J15" s="5" t="n"/>
      <c r="K15" s="5" t="n"/>
      <c r="L15" s="5" t="n"/>
      <c r="M15" s="5" t="n"/>
      <c r="N15" s="5" t="n"/>
      <c r="O15" s="5" t="n"/>
      <c r="P15" s="5" t="n"/>
    </row>
    <row r="16"/>
    <row r="17" ht="32" customHeight="1">
      <c r="C17" s="9" t="inlineStr">
        <is>
          <t>Domain</t>
        </is>
      </c>
      <c r="D17" s="9" t="inlineStr">
        <is>
          <t>Required evidence</t>
        </is>
      </c>
    </row>
    <row r="18">
      <c r="C18" s="10" t="inlineStr">
        <is>
          <t>Identity / sequence</t>
        </is>
      </c>
      <c r="D18" s="10" t="inlineStr">
        <is>
          <t>LC-MS intact mass and peptide mapping; sequence coverage; orthogonal identity; disulfide/modification confirmation.</t>
        </is>
      </c>
    </row>
    <row r="19">
      <c r="C19" s="10" t="inlineStr">
        <is>
          <t>Assay / purity</t>
        </is>
      </c>
      <c r="D19" s="10" t="inlineStr">
        <is>
          <t>Stability-indicating HPLC/UPLC; related substances; response factors; LOQ; forced degradation and mass balance.</t>
        </is>
      </c>
    </row>
    <row r="20">
      <c r="C20" s="10" t="inlineStr">
        <is>
          <t>Process residuals</t>
        </is>
      </c>
      <c r="D20" s="10" t="inlineStr">
        <is>
          <t>Residual solvents, counter-ion, water, elemental/genotoxic/nitrosamine and resin/linker-derived impurities as applicable.</t>
        </is>
      </c>
    </row>
    <row r="21">
      <c r="C21" s="10" t="inlineStr">
        <is>
          <t>Micro / sterile</t>
        </is>
      </c>
      <c r="D21" s="10" t="inlineStr">
        <is>
          <t>Bioburden, endotoxin, microbial limits, sterility, particulates and method suitability for the exact matrix.</t>
        </is>
      </c>
    </row>
    <row r="22">
      <c r="C22" s="10" t="inlineStr">
        <is>
          <t>Container / device</t>
        </is>
      </c>
      <c r="D22" s="10" t="inlineStr">
        <is>
          <t>CCI, E&amp;L, silicone/tungsten, dose accuracy and component compatibility where relevant.</t>
        </is>
      </c>
    </row>
    <row r="23">
      <c r="C23" s="10" t="inlineStr">
        <is>
          <t>Stability / excursions</t>
        </is>
      </c>
      <c r="D23" s="10" t="inlineStr">
        <is>
          <t>Mapped chambers, alarms, ICH conditions, freeze/thaw, light/heat and temperature-excursion protocol.</t>
        </is>
      </c>
    </row>
    <row r="24">
      <c r="C24" s="10" t="inlineStr">
        <is>
          <t>Data integrity</t>
        </is>
      </c>
      <c r="D24" s="10" t="inlineStr">
        <is>
          <t>Native files, metadata, audit trails, integration history, access roles, backup/restore, OOS/OOT/CAPA and raw-data rights.</t>
        </is>
      </c>
    </row>
    <row r="25">
      <c r="C25" s="10" t="inlineStr">
        <is>
          <t>Custody / retains</t>
        </is>
      </c>
      <c r="D25" s="10" t="inlineStr">
        <is>
          <t>Tamper seals, logger review, receipt checks, LIMS traceability, controlled aliquots, retains and no unapproved subcontracting.</t>
        </is>
      </c>
    </row>
  </sheetData>
  <autoFilter ref="C8:P12"/>
  <conditionalFormatting sqref="P9:P12">
    <cfRule type="expression" priority="1" dxfId="0">
      <formula>P9="Qualified"</formula>
    </cfRule>
    <cfRule type="expression" priority="2" dxfId="2">
      <formula>P9="Rejected"</formula>
    </cfRule>
  </conditionalFormatting>
  <dataValidations count="4">
    <dataValidation sqref="L9:L100" showDropDown="0" showInputMessage="0" showErrorMessage="0" allowBlank="1" type="list">
      <formula1>"Not Started,RFI Issued,Documents Partial,Documents Complete,Rejected"</formula1>
    </dataValidation>
    <dataValidation sqref="N9:N100" showDropDown="0" showInputMessage="0" showErrorMessage="0" allowBlank="1" type="list">
      <formula1>"Not Started,Scheduled,Complete,CAPA Open,Closed,Rejected"</formula1>
    </dataValidation>
    <dataValidation sqref="O9:O100" showDropDown="0" showInputMessage="0" showErrorMessage="0" allowBlank="1" type="list">
      <formula1>"Not Run,Pass,Conditional,Fail"</formula1>
    </dataValidation>
    <dataValidation sqref="P9:P100" showDropDown="0" showInputMessage="0" showErrorMessage="0" allowBlank="1" type="list">
      <formula1>"Hold,Conditional,Qualified,Rejected"</formula1>
    </dataValidation>
  </dataValidations>
  <pageMargins left="0.75" right="0.75" top="1" bottom="1" header="0.5" footer="0.5"/>
  <pageSetup orientation="landscape" fitToHeight="0" fitToWidth="1"/>
  <headerFooter>
    <oddHeader/>
    <oddFooter>&amp;C&amp;8 &amp;K666666Laboratory Screen | 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S86"/>
  <sheetViews>
    <sheetView showGridLines="0" view="pageBreakPreview" workbookViewId="0">
      <selection activeCell="A1" sqref="A1"/>
    </sheetView>
  </sheetViews>
  <sheetFormatPr baseColWidth="8" defaultRowHeight="15"/>
  <cols>
    <col width="20" customWidth="1" min="1" max="1"/>
    <col width="20" customWidth="1" min="2" max="2"/>
    <col width="48" customWidth="1" min="3" max="3"/>
    <col width="35" customWidth="1" min="4" max="4"/>
    <col width="74" customWidth="1" min="5" max="5"/>
    <col width="10" customWidth="1" min="6" max="6"/>
    <col width="24" customWidth="1" min="7" max="7"/>
    <col width="24" customWidth="1" min="8" max="8"/>
    <col width="22" customWidth="1" min="9" max="9"/>
    <col width="10" customWidth="1" min="10" max="10"/>
    <col width="13" customWidth="1" min="11" max="11"/>
    <col width="16" customWidth="1" min="12" max="12"/>
    <col width="10" customWidth="1" min="13" max="13"/>
    <col width="24" customWidth="1" min="14" max="14"/>
    <col width="15" customWidth="1" min="15" max="15"/>
    <col width="16" customWidth="1" min="16" max="16"/>
    <col width="34" customWidth="1" min="17" max="17"/>
    <col width="48" customWidth="1" min="18" max="18"/>
    <col width="36" customWidth="1" min="19" max="19"/>
  </cols>
  <sheetData>
    <row r="1"/>
    <row r="2"/>
    <row r="3" ht="24" customHeight="1">
      <c r="C3" s="1" t="inlineStr">
        <is>
          <t>Supplier and Laboratory Due-Diligence RFI Tracker</t>
        </is>
      </c>
      <c r="D3" s="2" t="n"/>
      <c r="E3" s="2" t="n"/>
      <c r="F3" s="2" t="n"/>
      <c r="G3" s="2" t="n"/>
      <c r="H3" s="2" t="n"/>
      <c r="I3" s="2" t="n"/>
      <c r="J3" s="2" t="n"/>
      <c r="K3" s="2" t="n"/>
      <c r="L3" s="2" t="n"/>
      <c r="M3" s="2" t="n"/>
      <c r="N3" s="2" t="n"/>
      <c r="O3" s="2" t="n"/>
      <c r="P3" s="2" t="n"/>
      <c r="Q3" s="2" t="n"/>
      <c r="R3" s="2" t="n"/>
      <c r="S3" s="2" t="n"/>
    </row>
    <row r="4"/>
    <row r="5">
      <c r="C5" s="3" t="inlineStr">
        <is>
          <t>Controlled request list for product-, site-, batch-, method- and lane-specific qualification</t>
        </is>
      </c>
    </row>
    <row r="6">
      <c r="C6" s="4" t="inlineStr">
        <is>
          <t>Complete each field; use Unknown / Not Applicable explicitly; high-priority share is intentionally limited</t>
        </is>
      </c>
    </row>
    <row r="7"/>
    <row r="8" ht="32" customHeight="1">
      <c r="C8" s="9" t="inlineStr">
        <is>
          <t>Request ID</t>
        </is>
      </c>
      <c r="D8" s="9" t="inlineStr">
        <is>
          <t>Workstream</t>
        </is>
      </c>
      <c r="E8" s="9" t="inlineStr">
        <is>
          <t>Detailed Request</t>
        </is>
      </c>
      <c r="F8" s="9" t="inlineStr">
        <is>
          <t>Priority</t>
        </is>
      </c>
      <c r="G8" s="9" t="inlineStr">
        <is>
          <t>Applies To</t>
        </is>
      </c>
      <c r="H8" s="9" t="inlineStr">
        <is>
          <t>Target Entity</t>
        </is>
      </c>
      <c r="I8" s="9" t="inlineStr">
        <is>
          <t>Gate</t>
        </is>
      </c>
      <c r="J8" s="9" t="inlineStr">
        <is>
          <t>Owner</t>
        </is>
      </c>
      <c r="K8" s="9" t="inlineStr">
        <is>
          <t>Status</t>
        </is>
      </c>
      <c r="L8" s="9" t="inlineStr">
        <is>
          <t>Date Requested</t>
        </is>
      </c>
      <c r="M8" s="9" t="inlineStr">
        <is>
          <t>SLA Days</t>
        </is>
      </c>
      <c r="N8" s="9" t="inlineStr">
        <is>
          <t>Due Date</t>
        </is>
      </c>
      <c r="O8" s="9" t="inlineStr">
        <is>
          <t>Date Received</t>
        </is>
      </c>
      <c r="P8" s="9" t="inlineStr">
        <is>
          <t>Review Outcome</t>
        </is>
      </c>
      <c r="Q8" s="9" t="inlineStr">
        <is>
          <t>Evidence Link</t>
        </is>
      </c>
      <c r="R8" s="9" t="inlineStr">
        <is>
          <t>Days Outstanding</t>
        </is>
      </c>
      <c r="S8" s="9" t="inlineStr">
        <is>
          <t>Notes</t>
        </is>
      </c>
    </row>
    <row r="9" ht="32" customHeight="1">
      <c r="C9" s="10" t="inlineStr">
        <is>
          <t>RFI-001</t>
        </is>
      </c>
      <c r="D9" s="10" t="inlineStr">
        <is>
          <t>Corporate &amp; Legal</t>
        </is>
      </c>
      <c r="E9" s="10" t="inlineStr">
        <is>
          <t>Provide contracting entity, all manufacturing/testing affiliates, corporate numbers, ownership/UBO and authorized signatories.</t>
        </is>
      </c>
      <c r="F9" s="10" t="inlineStr">
        <is>
          <t>High</t>
        </is>
      </c>
      <c r="G9" s="10" t="inlineStr">
        <is>
          <t>Manufacturers</t>
        </is>
      </c>
      <c r="H9" s="10" t="inlineStr"/>
      <c r="I9" s="10" t="inlineStr">
        <is>
          <t>Pre-audit</t>
        </is>
      </c>
      <c r="J9" s="10" t="inlineStr"/>
      <c r="K9" s="10" t="inlineStr">
        <is>
          <t>Not Started</t>
        </is>
      </c>
      <c r="L9" s="16" t="inlineStr"/>
      <c r="M9" s="13" t="n">
        <v>10</v>
      </c>
      <c r="N9" s="17">
        <f>IF(L9="","",L9+M9)</f>
        <v/>
      </c>
      <c r="O9" s="16" t="inlineStr"/>
      <c r="P9" s="10" t="inlineStr">
        <is>
          <t>Pending</t>
        </is>
      </c>
      <c r="Q9" s="10" t="inlineStr"/>
      <c r="R9" s="14">
        <f>IF(OR(K9="Closed",L9=""),"",MAX(0,TODAY()-L9))</f>
        <v/>
      </c>
      <c r="S9" s="10" t="inlineStr"/>
    </row>
    <row r="10" ht="32" customHeight="1">
      <c r="C10" s="10" t="inlineStr">
        <is>
          <t>RFI-002</t>
        </is>
      </c>
      <c r="D10" s="10" t="inlineStr">
        <is>
          <t>Corporate &amp; Legal</t>
        </is>
      </c>
      <c r="E10" s="10" t="inlineStr">
        <is>
          <t>Provide legal title or lease evidence for each proposed site and reconcile every address across licences, FEI, certificates and invoices.</t>
        </is>
      </c>
      <c r="F10" s="10" t="inlineStr">
        <is>
          <t>High</t>
        </is>
      </c>
      <c r="G10" s="10" t="inlineStr">
        <is>
          <t>Manufacturers &amp; Laboratories</t>
        </is>
      </c>
      <c r="H10" s="10" t="inlineStr"/>
      <c r="I10" s="10" t="inlineStr">
        <is>
          <t>Pre-audit</t>
        </is>
      </c>
      <c r="J10" s="10" t="inlineStr"/>
      <c r="K10" s="10" t="inlineStr">
        <is>
          <t>Not Started</t>
        </is>
      </c>
      <c r="L10" s="16" t="inlineStr"/>
      <c r="M10" s="13" t="n">
        <v>10</v>
      </c>
      <c r="N10" s="17">
        <f>IF(L10="","",L10+M10)</f>
        <v/>
      </c>
      <c r="O10" s="16" t="inlineStr"/>
      <c r="P10" s="10" t="inlineStr">
        <is>
          <t>Pending</t>
        </is>
      </c>
      <c r="Q10" s="10" t="inlineStr"/>
      <c r="R10" s="14">
        <f>IF(OR(K10="Closed",L10=""),"",MAX(0,TODAY()-L10))</f>
        <v/>
      </c>
      <c r="S10" s="10" t="inlineStr"/>
    </row>
    <row r="11" ht="32" customHeight="1">
      <c r="C11" s="10" t="inlineStr">
        <is>
          <t>RFI-003</t>
        </is>
      </c>
      <c r="D11" s="10" t="inlineStr">
        <is>
          <t>Corporate &amp; Legal</t>
        </is>
      </c>
      <c r="E11" s="10" t="inlineStr">
        <is>
          <t>Provide current organization charts for corporate, site quality, production, QC, regulatory, supply and pharmacovigilance interfaces.</t>
        </is>
      </c>
      <c r="F11" s="10" t="inlineStr">
        <is>
          <t>Medium</t>
        </is>
      </c>
      <c r="G11" s="10" t="inlineStr">
        <is>
          <t>Manufacturers &amp; Laboratories</t>
        </is>
      </c>
      <c r="H11" s="10" t="inlineStr"/>
      <c r="I11" s="10" t="inlineStr">
        <is>
          <t>Pre-audit</t>
        </is>
      </c>
      <c r="J11" s="10" t="inlineStr"/>
      <c r="K11" s="10" t="inlineStr">
        <is>
          <t>Not Started</t>
        </is>
      </c>
      <c r="L11" s="16" t="inlineStr"/>
      <c r="M11" s="13" t="n">
        <v>10</v>
      </c>
      <c r="N11" s="17">
        <f>IF(L11="","",L11+M11)</f>
        <v/>
      </c>
      <c r="O11" s="16" t="inlineStr"/>
      <c r="P11" s="10" t="inlineStr">
        <is>
          <t>Pending</t>
        </is>
      </c>
      <c r="Q11" s="10" t="inlineStr"/>
      <c r="R11" s="14">
        <f>IF(OR(K11="Closed",L11=""),"",MAX(0,TODAY()-L11))</f>
        <v/>
      </c>
      <c r="S11" s="10" t="inlineStr"/>
    </row>
    <row r="12" ht="32" customHeight="1">
      <c r="C12" s="10" t="inlineStr">
        <is>
          <t>RFI-004</t>
        </is>
      </c>
      <c r="D12" s="10" t="inlineStr">
        <is>
          <t>Corporate &amp; Legal</t>
        </is>
      </c>
      <c r="E12" s="10" t="inlineStr">
        <is>
          <t>Provide audited financial statements, insurance certificates, business-continuity funding and material litigation/sanctions disclosures.</t>
        </is>
      </c>
      <c r="F12" s="10" t="inlineStr">
        <is>
          <t>Medium</t>
        </is>
      </c>
      <c r="G12" s="10" t="inlineStr">
        <is>
          <t>Manufacturers</t>
        </is>
      </c>
      <c r="H12" s="10" t="inlineStr"/>
      <c r="I12" s="10" t="inlineStr">
        <is>
          <t>Pre-contract</t>
        </is>
      </c>
      <c r="J12" s="10" t="inlineStr"/>
      <c r="K12" s="10" t="inlineStr">
        <is>
          <t>Not Started</t>
        </is>
      </c>
      <c r="L12" s="16" t="inlineStr"/>
      <c r="M12" s="13" t="n">
        <v>10</v>
      </c>
      <c r="N12" s="17">
        <f>IF(L12="","",L12+M12)</f>
        <v/>
      </c>
      <c r="O12" s="16" t="inlineStr"/>
      <c r="P12" s="10" t="inlineStr">
        <is>
          <t>Pending</t>
        </is>
      </c>
      <c r="Q12" s="10" t="inlineStr"/>
      <c r="R12" s="14">
        <f>IF(OR(K12="Closed",L12=""),"",MAX(0,TODAY()-L12))</f>
        <v/>
      </c>
      <c r="S12" s="10" t="inlineStr"/>
    </row>
    <row r="13" ht="32" customHeight="1">
      <c r="C13" s="10" t="inlineStr">
        <is>
          <t>RFI-005</t>
        </is>
      </c>
      <c r="D13" s="10" t="inlineStr">
        <is>
          <t>Corporate &amp; Legal</t>
        </is>
      </c>
      <c r="E13" s="10" t="inlineStr">
        <is>
          <t>Declare all brokers, agents, distributors and consultants in the proposed transaction and confirm no therapeutic material is sourced from traders.</t>
        </is>
      </c>
      <c r="F13" s="10" t="inlineStr">
        <is>
          <t>High</t>
        </is>
      </c>
      <c r="G13" s="10" t="inlineStr">
        <is>
          <t>Manufacturers</t>
        </is>
      </c>
      <c r="H13" s="10" t="inlineStr"/>
      <c r="I13" s="10" t="inlineStr">
        <is>
          <t>No-Go</t>
        </is>
      </c>
      <c r="J13" s="10" t="inlineStr"/>
      <c r="K13" s="10" t="inlineStr">
        <is>
          <t>Not Started</t>
        </is>
      </c>
      <c r="L13" s="16" t="inlineStr"/>
      <c r="M13" s="13" t="n">
        <v>10</v>
      </c>
      <c r="N13" s="17">
        <f>IF(L13="","",L13+M13)</f>
        <v/>
      </c>
      <c r="O13" s="16" t="inlineStr"/>
      <c r="P13" s="10" t="inlineStr">
        <is>
          <t>Pending</t>
        </is>
      </c>
      <c r="Q13" s="10" t="inlineStr"/>
      <c r="R13" s="14">
        <f>IF(OR(K13="Closed",L13=""),"",MAX(0,TODAY()-L13))</f>
        <v/>
      </c>
      <c r="S13" s="10" t="inlineStr"/>
    </row>
    <row r="14" ht="32" customHeight="1">
      <c r="C14" s="10" t="inlineStr">
        <is>
          <t>RFI-006</t>
        </is>
      </c>
      <c r="D14" s="10" t="inlineStr">
        <is>
          <t>Corporate &amp; Legal</t>
        </is>
      </c>
      <c r="E14" s="10" t="inlineStr">
        <is>
          <t>Provide anti-bribery, sanctions, export-control, modern-slavery and conflict-of-interest declarations.</t>
        </is>
      </c>
      <c r="F14" s="10" t="inlineStr">
        <is>
          <t>Medium</t>
        </is>
      </c>
      <c r="G14" s="10" t="inlineStr">
        <is>
          <t>Manufacturers &amp; Laboratories</t>
        </is>
      </c>
      <c r="H14" s="10" t="inlineStr"/>
      <c r="I14" s="10" t="inlineStr">
        <is>
          <t>Pre-contract</t>
        </is>
      </c>
      <c r="J14" s="10" t="inlineStr"/>
      <c r="K14" s="10" t="inlineStr">
        <is>
          <t>Not Started</t>
        </is>
      </c>
      <c r="L14" s="16" t="inlineStr"/>
      <c r="M14" s="13" t="n">
        <v>10</v>
      </c>
      <c r="N14" s="17">
        <f>IF(L14="","",L14+M14)</f>
        <v/>
      </c>
      <c r="O14" s="16" t="inlineStr"/>
      <c r="P14" s="10" t="inlineStr">
        <is>
          <t>Pending</t>
        </is>
      </c>
      <c r="Q14" s="10" t="inlineStr"/>
      <c r="R14" s="14">
        <f>IF(OR(K14="Closed",L14=""),"",MAX(0,TODAY()-L14))</f>
        <v/>
      </c>
      <c r="S14" s="10" t="inlineStr"/>
    </row>
    <row r="15" ht="32" customHeight="1">
      <c r="C15" s="10" t="inlineStr">
        <is>
          <t>RFI-007</t>
        </is>
      </c>
      <c r="D15" s="10" t="inlineStr">
        <is>
          <t>Regulatory &amp; Licences</t>
        </is>
      </c>
      <c r="E15" s="10" t="inlineStr">
        <is>
          <t>Provide current local manufacturing/testing licences and every annex for the exact legal entity, address, building, activity and dosage form.</t>
        </is>
      </c>
      <c r="F15" s="10" t="inlineStr">
        <is>
          <t>High</t>
        </is>
      </c>
      <c r="G15" s="10" t="inlineStr">
        <is>
          <t>Manufacturers &amp; Laboratories</t>
        </is>
      </c>
      <c r="H15" s="10" t="inlineStr"/>
      <c r="I15" s="10" t="inlineStr">
        <is>
          <t>No-Go</t>
        </is>
      </c>
      <c r="J15" s="10" t="inlineStr"/>
      <c r="K15" s="10" t="inlineStr">
        <is>
          <t>Not Started</t>
        </is>
      </c>
      <c r="L15" s="16" t="inlineStr"/>
      <c r="M15" s="13" t="n">
        <v>10</v>
      </c>
      <c r="N15" s="17">
        <f>IF(L15="","",L15+M15)</f>
        <v/>
      </c>
      <c r="O15" s="16" t="inlineStr"/>
      <c r="P15" s="10" t="inlineStr">
        <is>
          <t>Pending</t>
        </is>
      </c>
      <c r="Q15" s="10" t="inlineStr"/>
      <c r="R15" s="14">
        <f>IF(OR(K15="Closed",L15=""),"",MAX(0,TODAY()-L15))</f>
        <v/>
      </c>
      <c r="S15" s="10" t="inlineStr"/>
    </row>
    <row r="16" ht="32" customHeight="1">
      <c r="C16" s="10" t="inlineStr">
        <is>
          <t>RFI-008</t>
        </is>
      </c>
      <c r="D16" s="10" t="inlineStr">
        <is>
          <t>Regulatory &amp; Licences</t>
        </is>
      </c>
      <c r="E16" s="10" t="inlineStr">
        <is>
          <t>Provide current GMP/GDP/GLP/ISO certificates and full scope schedules, with issuing-body verification links and expiry/status.</t>
        </is>
      </c>
      <c r="F16" s="10" t="inlineStr">
        <is>
          <t>High</t>
        </is>
      </c>
      <c r="G16" s="10" t="inlineStr">
        <is>
          <t>Manufacturers &amp; Laboratories</t>
        </is>
      </c>
      <c r="H16" s="10" t="inlineStr"/>
      <c r="I16" s="10" t="inlineStr">
        <is>
          <t>Pre-audit</t>
        </is>
      </c>
      <c r="J16" s="10" t="inlineStr"/>
      <c r="K16" s="10" t="inlineStr">
        <is>
          <t>Not Started</t>
        </is>
      </c>
      <c r="L16" s="16" t="inlineStr"/>
      <c r="M16" s="13" t="n">
        <v>10</v>
      </c>
      <c r="N16" s="17">
        <f>IF(L16="","",L16+M16)</f>
        <v/>
      </c>
      <c r="O16" s="16" t="inlineStr"/>
      <c r="P16" s="10" t="inlineStr">
        <is>
          <t>Pending</t>
        </is>
      </c>
      <c r="Q16" s="10" t="inlineStr"/>
      <c r="R16" s="14">
        <f>IF(OR(K16="Closed",L16=""),"",MAX(0,TODAY()-L16))</f>
        <v/>
      </c>
      <c r="S16" s="10" t="inlineStr"/>
    </row>
    <row r="17" ht="32" customHeight="1">
      <c r="C17" s="10" t="inlineStr">
        <is>
          <t>RFI-009</t>
        </is>
      </c>
      <c r="D17" s="10" t="inlineStr">
        <is>
          <t>Regulatory &amp; Licences</t>
        </is>
      </c>
      <c r="E17" s="10" t="inlineStr">
        <is>
          <t>List the last three regulator inspections for each proposed site, including dates, authority, scope, observations, responses, EIR/final classification and commitments.</t>
        </is>
      </c>
      <c r="F17" s="10" t="inlineStr">
        <is>
          <t>High</t>
        </is>
      </c>
      <c r="G17" s="10" t="inlineStr">
        <is>
          <t>Manufacturers &amp; Laboratories</t>
        </is>
      </c>
      <c r="H17" s="10" t="inlineStr"/>
      <c r="I17" s="10" t="inlineStr">
        <is>
          <t>Pre-audit</t>
        </is>
      </c>
      <c r="J17" s="10" t="inlineStr"/>
      <c r="K17" s="10" t="inlineStr">
        <is>
          <t>Not Started</t>
        </is>
      </c>
      <c r="L17" s="16" t="inlineStr"/>
      <c r="M17" s="13" t="n">
        <v>10</v>
      </c>
      <c r="N17" s="17">
        <f>IF(L17="","",L17+M17)</f>
        <v/>
      </c>
      <c r="O17" s="16" t="inlineStr"/>
      <c r="P17" s="10" t="inlineStr">
        <is>
          <t>Pending</t>
        </is>
      </c>
      <c r="Q17" s="10" t="inlineStr"/>
      <c r="R17" s="14">
        <f>IF(OR(K17="Closed",L17=""),"",MAX(0,TODAY()-L17))</f>
        <v/>
      </c>
      <c r="S17" s="10" t="inlineStr"/>
    </row>
    <row r="18" ht="32" customHeight="1">
      <c r="C18" s="10" t="inlineStr">
        <is>
          <t>RFI-010</t>
        </is>
      </c>
      <c r="D18" s="10" t="inlineStr">
        <is>
          <t>Regulatory &amp; Licences</t>
        </is>
      </c>
      <c r="E18" s="10" t="inlineStr">
        <is>
          <t>Disclose all warning letters, import alerts, non-compliance statements, recalls, suspensions, licence restrictions and regulator commitments for ten years.</t>
        </is>
      </c>
      <c r="F18" s="10" t="inlineStr">
        <is>
          <t>High</t>
        </is>
      </c>
      <c r="G18" s="10" t="inlineStr">
        <is>
          <t>Manufacturers &amp; Laboratories</t>
        </is>
      </c>
      <c r="H18" s="10" t="inlineStr"/>
      <c r="I18" s="10" t="inlineStr">
        <is>
          <t>No-Go</t>
        </is>
      </c>
      <c r="J18" s="10" t="inlineStr"/>
      <c r="K18" s="10" t="inlineStr">
        <is>
          <t>Not Started</t>
        </is>
      </c>
      <c r="L18" s="16" t="inlineStr"/>
      <c r="M18" s="13" t="n">
        <v>10</v>
      </c>
      <c r="N18" s="17">
        <f>IF(L18="","",L18+M18)</f>
        <v/>
      </c>
      <c r="O18" s="16" t="inlineStr"/>
      <c r="P18" s="10" t="inlineStr">
        <is>
          <t>Pending</t>
        </is>
      </c>
      <c r="Q18" s="10" t="inlineStr"/>
      <c r="R18" s="14">
        <f>IF(OR(K18="Closed",L18=""),"",MAX(0,TODAY()-L18))</f>
        <v/>
      </c>
      <c r="S18" s="10" t="inlineStr"/>
    </row>
    <row r="19" ht="32" customHeight="1">
      <c r="C19" s="10" t="inlineStr">
        <is>
          <t>RFI-011</t>
        </is>
      </c>
      <c r="D19" s="10" t="inlineStr">
        <is>
          <t>Regulatory &amp; Licences</t>
        </is>
      </c>
      <c r="E19" s="10" t="inlineStr">
        <is>
          <t>Provide evidence of closure and CAPA effectiveness for every public adverse event identified in the George research report.</t>
        </is>
      </c>
      <c r="F19" s="10" t="inlineStr">
        <is>
          <t>High</t>
        </is>
      </c>
      <c r="G19" s="10" t="inlineStr">
        <is>
          <t>Manufacturers &amp; Laboratories</t>
        </is>
      </c>
      <c r="H19" s="10" t="inlineStr"/>
      <c r="I19" s="10" t="inlineStr">
        <is>
          <t>Pre-contract</t>
        </is>
      </c>
      <c r="J19" s="10" t="inlineStr"/>
      <c r="K19" s="10" t="inlineStr">
        <is>
          <t>Not Started</t>
        </is>
      </c>
      <c r="L19" s="16" t="inlineStr"/>
      <c r="M19" s="13" t="n">
        <v>10</v>
      </c>
      <c r="N19" s="17">
        <f>IF(L19="","",L19+M19)</f>
        <v/>
      </c>
      <c r="O19" s="16" t="inlineStr"/>
      <c r="P19" s="10" t="inlineStr">
        <is>
          <t>Pending</t>
        </is>
      </c>
      <c r="Q19" s="10" t="inlineStr"/>
      <c r="R19" s="14">
        <f>IF(OR(K19="Closed",L19=""),"",MAX(0,TODAY()-L19))</f>
        <v/>
      </c>
      <c r="S19" s="10" t="inlineStr"/>
    </row>
    <row r="20" ht="32" customHeight="1">
      <c r="C20" s="10" t="inlineStr">
        <is>
          <t>RFI-012</t>
        </is>
      </c>
      <c r="D20" s="10" t="inlineStr">
        <is>
          <t>Regulatory &amp; Licences</t>
        </is>
      </c>
      <c r="E20" s="10" t="inlineStr">
        <is>
          <t>Provide product-specific CEP, DMF, ASMF, LoA, approved dossier references and current status; distinguish filing from approval.</t>
        </is>
      </c>
      <c r="F20" s="10" t="inlineStr">
        <is>
          <t>High</t>
        </is>
      </c>
      <c r="G20" s="10" t="inlineStr">
        <is>
          <t>Manufacturers</t>
        </is>
      </c>
      <c r="H20" s="10" t="inlineStr"/>
      <c r="I20" s="10" t="inlineStr">
        <is>
          <t>Pre-audit</t>
        </is>
      </c>
      <c r="J20" s="10" t="inlineStr"/>
      <c r="K20" s="10" t="inlineStr">
        <is>
          <t>Not Started</t>
        </is>
      </c>
      <c r="L20" s="16" t="inlineStr"/>
      <c r="M20" s="13" t="n">
        <v>10</v>
      </c>
      <c r="N20" s="17">
        <f>IF(L20="","",L20+M20)</f>
        <v/>
      </c>
      <c r="O20" s="16" t="inlineStr"/>
      <c r="P20" s="10" t="inlineStr">
        <is>
          <t>Pending</t>
        </is>
      </c>
      <c r="Q20" s="10" t="inlineStr"/>
      <c r="R20" s="14">
        <f>IF(OR(K20="Closed",L20=""),"",MAX(0,TODAY()-L20))</f>
        <v/>
      </c>
      <c r="S20" s="10" t="inlineStr"/>
    </row>
    <row r="21" ht="32" customHeight="1">
      <c r="C21" s="10" t="inlineStr">
        <is>
          <t>RFI-013</t>
        </is>
      </c>
      <c r="D21" s="10" t="inlineStr">
        <is>
          <t>Regulatory &amp; Licences</t>
        </is>
      </c>
      <c r="E21" s="10" t="inlineStr">
        <is>
          <t>Provide a country-by-country list of products actually supplied from the proposed site, with approval/label/dossier evidence and no inferred customers.</t>
        </is>
      </c>
      <c r="F21" s="10" t="inlineStr">
        <is>
          <t>Medium</t>
        </is>
      </c>
      <c r="G21" s="10" t="inlineStr">
        <is>
          <t>Manufacturers</t>
        </is>
      </c>
      <c r="H21" s="10" t="inlineStr"/>
      <c r="I21" s="10" t="inlineStr">
        <is>
          <t>Pre-contract</t>
        </is>
      </c>
      <c r="J21" s="10" t="inlineStr"/>
      <c r="K21" s="10" t="inlineStr">
        <is>
          <t>Not Started</t>
        </is>
      </c>
      <c r="L21" s="16" t="inlineStr"/>
      <c r="M21" s="13" t="n">
        <v>10</v>
      </c>
      <c r="N21" s="17">
        <f>IF(L21="","",L21+M21)</f>
        <v/>
      </c>
      <c r="O21" s="16" t="inlineStr"/>
      <c r="P21" s="10" t="inlineStr">
        <is>
          <t>Pending</t>
        </is>
      </c>
      <c r="Q21" s="10" t="inlineStr"/>
      <c r="R21" s="14">
        <f>IF(OR(K21="Closed",L21=""),"",MAX(0,TODAY()-L21))</f>
        <v/>
      </c>
      <c r="S21" s="10" t="inlineStr"/>
    </row>
    <row r="22" ht="32" customHeight="1">
      <c r="C22" s="10" t="inlineStr">
        <is>
          <t>RFI-014</t>
        </is>
      </c>
      <c r="D22" s="10" t="inlineStr">
        <is>
          <t>Regulatory &amp; Licences</t>
        </is>
      </c>
      <c r="E22" s="10" t="inlineStr">
        <is>
          <t>Confirm whether the proposed product/site has any SAHPRA history, inspection, dossier linkage, deficiency question or local partner relationship.</t>
        </is>
      </c>
      <c r="F22" s="10" t="inlineStr">
        <is>
          <t>High</t>
        </is>
      </c>
      <c r="G22" s="10" t="inlineStr">
        <is>
          <t>Manufacturers</t>
        </is>
      </c>
      <c r="H22" s="10" t="inlineStr"/>
      <c r="I22" s="10" t="inlineStr">
        <is>
          <t>Pre-contract</t>
        </is>
      </c>
      <c r="J22" s="10" t="inlineStr"/>
      <c r="K22" s="10" t="inlineStr">
        <is>
          <t>Not Started</t>
        </is>
      </c>
      <c r="L22" s="16" t="inlineStr"/>
      <c r="M22" s="13" t="n">
        <v>10</v>
      </c>
      <c r="N22" s="17">
        <f>IF(L22="","",L22+M22)</f>
        <v/>
      </c>
      <c r="O22" s="16" t="inlineStr"/>
      <c r="P22" s="10" t="inlineStr">
        <is>
          <t>Pending</t>
        </is>
      </c>
      <c r="Q22" s="10" t="inlineStr"/>
      <c r="R22" s="14">
        <f>IF(OR(K22="Closed",L22=""),"",MAX(0,TODAY()-L22))</f>
        <v/>
      </c>
      <c r="S22" s="10" t="inlineStr"/>
    </row>
    <row r="23" ht="32" customHeight="1">
      <c r="C23" s="10" t="inlineStr">
        <is>
          <t>RFI-015</t>
        </is>
      </c>
      <c r="D23" s="10" t="inlineStr">
        <is>
          <t>Regulatory &amp; Licences</t>
        </is>
      </c>
      <c r="E23" s="10" t="inlineStr">
        <is>
          <t>Provide all regulatory change commitments affecting route, site, raw material, specification, method, container, device, storage or shelf life.</t>
        </is>
      </c>
      <c r="F23" s="10" t="inlineStr">
        <is>
          <t>High</t>
        </is>
      </c>
      <c r="G23" s="10" t="inlineStr">
        <is>
          <t>Manufacturers</t>
        </is>
      </c>
      <c r="H23" s="10" t="inlineStr"/>
      <c r="I23" s="10" t="inlineStr">
        <is>
          <t>Pre-contract</t>
        </is>
      </c>
      <c r="J23" s="10" t="inlineStr"/>
      <c r="K23" s="10" t="inlineStr">
        <is>
          <t>Not Started</t>
        </is>
      </c>
      <c r="L23" s="16" t="inlineStr"/>
      <c r="M23" s="13" t="n">
        <v>10</v>
      </c>
      <c r="N23" s="17">
        <f>IF(L23="","",L23+M23)</f>
        <v/>
      </c>
      <c r="O23" s="16" t="inlineStr"/>
      <c r="P23" s="10" t="inlineStr">
        <is>
          <t>Pending</t>
        </is>
      </c>
      <c r="Q23" s="10" t="inlineStr"/>
      <c r="R23" s="14">
        <f>IF(OR(K23="Closed",L23=""),"",MAX(0,TODAY()-L23))</f>
        <v/>
      </c>
      <c r="S23" s="10" t="inlineStr"/>
    </row>
    <row r="24" ht="32" customHeight="1">
      <c r="C24" s="10" t="inlineStr">
        <is>
          <t>RFI-016</t>
        </is>
      </c>
      <c r="D24" s="10" t="inlineStr">
        <is>
          <t>Product &amp; Site Genealogy</t>
        </is>
      </c>
      <c r="E24" s="10" t="inlineStr">
        <is>
          <t>Define the exact peptide, sequence, salt/counter-ion, grade, dosage form, strength, presentation, annual volume and target markets.</t>
        </is>
      </c>
      <c r="F24" s="10" t="inlineStr">
        <is>
          <t>High</t>
        </is>
      </c>
      <c r="G24" s="10" t="inlineStr">
        <is>
          <t>Manufacturers</t>
        </is>
      </c>
      <c r="H24" s="10" t="inlineStr"/>
      <c r="I24" s="10" t="inlineStr">
        <is>
          <t>Pre-audit</t>
        </is>
      </c>
      <c r="J24" s="10" t="inlineStr"/>
      <c r="K24" s="10" t="inlineStr">
        <is>
          <t>Not Started</t>
        </is>
      </c>
      <c r="L24" s="16" t="inlineStr"/>
      <c r="M24" s="13" t="n">
        <v>10</v>
      </c>
      <c r="N24" s="17">
        <f>IF(L24="","",L24+M24)</f>
        <v/>
      </c>
      <c r="O24" s="16" t="inlineStr"/>
      <c r="P24" s="10" t="inlineStr">
        <is>
          <t>Pending</t>
        </is>
      </c>
      <c r="Q24" s="10" t="inlineStr"/>
      <c r="R24" s="14">
        <f>IF(OR(K24="Closed",L24=""),"",MAX(0,TODAY()-L24))</f>
        <v/>
      </c>
      <c r="S24" s="10" t="inlineStr"/>
    </row>
    <row r="25" ht="32" customHeight="1">
      <c r="C25" s="10" t="inlineStr">
        <is>
          <t>RFI-017</t>
        </is>
      </c>
      <c r="D25" s="10" t="inlineStr">
        <is>
          <t>Product &amp; Site Genealogy</t>
        </is>
      </c>
      <c r="E25" s="10" t="inlineStr">
        <is>
          <t>Map every physical site, building, room, line and equipment train for synthesis, purification, isolation, milling, testing, release, storage and export.</t>
        </is>
      </c>
      <c r="F25" s="10" t="inlineStr">
        <is>
          <t>High</t>
        </is>
      </c>
      <c r="G25" s="10" t="inlineStr">
        <is>
          <t>Manufacturers</t>
        </is>
      </c>
      <c r="H25" s="10" t="inlineStr"/>
      <c r="I25" s="10" t="inlineStr">
        <is>
          <t>No-Go</t>
        </is>
      </c>
      <c r="J25" s="10" t="inlineStr"/>
      <c r="K25" s="10" t="inlineStr">
        <is>
          <t>Not Started</t>
        </is>
      </c>
      <c r="L25" s="16" t="inlineStr"/>
      <c r="M25" s="13" t="n">
        <v>10</v>
      </c>
      <c r="N25" s="17">
        <f>IF(L25="","",L25+M25)</f>
        <v/>
      </c>
      <c r="O25" s="16" t="inlineStr"/>
      <c r="P25" s="10" t="inlineStr">
        <is>
          <t>Pending</t>
        </is>
      </c>
      <c r="Q25" s="10" t="inlineStr"/>
      <c r="R25" s="14">
        <f>IF(OR(K25="Closed",L25=""),"",MAX(0,TODAY()-L25))</f>
        <v/>
      </c>
      <c r="S25" s="10" t="inlineStr"/>
    </row>
    <row r="26" ht="32" customHeight="1">
      <c r="C26" s="10" t="inlineStr">
        <is>
          <t>RFI-018</t>
        </is>
      </c>
      <c r="D26" s="10" t="inlineStr">
        <is>
          <t>Product &amp; Site Genealogy</t>
        </is>
      </c>
      <c r="E26" s="10" t="inlineStr">
        <is>
          <t>Map every sterile formulation, filtration, filling, lyophilization, sterilization, device assembly, packaging and serialization site where applicable.</t>
        </is>
      </c>
      <c r="F26" s="10" t="inlineStr">
        <is>
          <t>High</t>
        </is>
      </c>
      <c r="G26" s="10" t="inlineStr">
        <is>
          <t>Manufacturers</t>
        </is>
      </c>
      <c r="H26" s="10" t="inlineStr"/>
      <c r="I26" s="10" t="inlineStr">
        <is>
          <t>No-Go</t>
        </is>
      </c>
      <c r="J26" s="10" t="inlineStr"/>
      <c r="K26" s="10" t="inlineStr">
        <is>
          <t>Not Started</t>
        </is>
      </c>
      <c r="L26" s="16" t="inlineStr"/>
      <c r="M26" s="13" t="n">
        <v>10</v>
      </c>
      <c r="N26" s="17">
        <f>IF(L26="","",L26+M26)</f>
        <v/>
      </c>
      <c r="O26" s="16" t="inlineStr"/>
      <c r="P26" s="10" t="inlineStr">
        <is>
          <t>Pending</t>
        </is>
      </c>
      <c r="Q26" s="10" t="inlineStr"/>
      <c r="R26" s="14">
        <f>IF(OR(K26="Closed",L26=""),"",MAX(0,TODAY()-L26))</f>
        <v/>
      </c>
      <c r="S26" s="10" t="inlineStr"/>
    </row>
    <row r="27" ht="32" customHeight="1">
      <c r="C27" s="10" t="inlineStr">
        <is>
          <t>RFI-019</t>
        </is>
      </c>
      <c r="D27" s="10" t="inlineStr">
        <is>
          <t>Product &amp; Site Genealogy</t>
        </is>
      </c>
      <c r="E27" s="10" t="inlineStr">
        <is>
          <t>Identify the legal batch-release site and responsible quality roles for API, drug product, device and final packaged product.</t>
        </is>
      </c>
      <c r="F27" s="10" t="inlineStr">
        <is>
          <t>High</t>
        </is>
      </c>
      <c r="G27" s="10" t="inlineStr">
        <is>
          <t>Manufacturers</t>
        </is>
      </c>
      <c r="H27" s="10" t="inlineStr"/>
      <c r="I27" s="10" t="inlineStr">
        <is>
          <t>Pre-contract</t>
        </is>
      </c>
      <c r="J27" s="10" t="inlineStr"/>
      <c r="K27" s="10" t="inlineStr">
        <is>
          <t>Not Started</t>
        </is>
      </c>
      <c r="L27" s="16" t="inlineStr"/>
      <c r="M27" s="13" t="n">
        <v>10</v>
      </c>
      <c r="N27" s="17">
        <f>IF(L27="","",L27+M27)</f>
        <v/>
      </c>
      <c r="O27" s="16" t="inlineStr"/>
      <c r="P27" s="10" t="inlineStr">
        <is>
          <t>Pending</t>
        </is>
      </c>
      <c r="Q27" s="10" t="inlineStr"/>
      <c r="R27" s="14">
        <f>IF(OR(K27="Closed",L27=""),"",MAX(0,TODAY()-L27))</f>
        <v/>
      </c>
      <c r="S27" s="10" t="inlineStr"/>
    </row>
    <row r="28" ht="32" customHeight="1">
      <c r="C28" s="10" t="inlineStr">
        <is>
          <t>RFI-020</t>
        </is>
      </c>
      <c r="D28" s="10" t="inlineStr">
        <is>
          <t>Product &amp; Site Genealogy</t>
        </is>
      </c>
      <c r="E28" s="10" t="inlineStr">
        <is>
          <t>Describe the research/non-GMP-to-GMP transfer boundary and prove that no research-use material enters therapeutic manufacture.</t>
        </is>
      </c>
      <c r="F28" s="10" t="inlineStr">
        <is>
          <t>High</t>
        </is>
      </c>
      <c r="G28" s="10" t="inlineStr">
        <is>
          <t>Manufacturers</t>
        </is>
      </c>
      <c r="H28" s="10" t="inlineStr"/>
      <c r="I28" s="10" t="inlineStr">
        <is>
          <t>No-Go</t>
        </is>
      </c>
      <c r="J28" s="10" t="inlineStr"/>
      <c r="K28" s="10" t="inlineStr">
        <is>
          <t>Not Started</t>
        </is>
      </c>
      <c r="L28" s="16" t="inlineStr"/>
      <c r="M28" s="13" t="n">
        <v>10</v>
      </c>
      <c r="N28" s="17">
        <f>IF(L28="","",L28+M28)</f>
        <v/>
      </c>
      <c r="O28" s="16" t="inlineStr"/>
      <c r="P28" s="10" t="inlineStr">
        <is>
          <t>Pending</t>
        </is>
      </c>
      <c r="Q28" s="10" t="inlineStr"/>
      <c r="R28" s="14">
        <f>IF(OR(K28="Closed",L28=""),"",MAX(0,TODAY()-L28))</f>
        <v/>
      </c>
      <c r="S28" s="10" t="inlineStr"/>
    </row>
    <row r="29" ht="32" customHeight="1">
      <c r="C29" s="10" t="inlineStr">
        <is>
          <t>RFI-021</t>
        </is>
      </c>
      <c r="D29" s="10" t="inlineStr">
        <is>
          <t>Product &amp; Site Genealogy</t>
        </is>
      </c>
      <c r="E29" s="10" t="inlineStr">
        <is>
          <t>Provide the proposed registered supply-chain diagram and reconcile it to contracts, licences, quality agreements and shipping documents.</t>
        </is>
      </c>
      <c r="F29" s="10" t="inlineStr">
        <is>
          <t>High</t>
        </is>
      </c>
      <c r="G29" s="10" t="inlineStr">
        <is>
          <t>Manufacturers</t>
        </is>
      </c>
      <c r="H29" s="10" t="inlineStr"/>
      <c r="I29" s="10" t="inlineStr">
        <is>
          <t>Pre-contract</t>
        </is>
      </c>
      <c r="J29" s="10" t="inlineStr"/>
      <c r="K29" s="10" t="inlineStr">
        <is>
          <t>Not Started</t>
        </is>
      </c>
      <c r="L29" s="16" t="inlineStr"/>
      <c r="M29" s="13" t="n">
        <v>10</v>
      </c>
      <c r="N29" s="17">
        <f>IF(L29="","",L29+M29)</f>
        <v/>
      </c>
      <c r="O29" s="16" t="inlineStr"/>
      <c r="P29" s="10" t="inlineStr">
        <is>
          <t>Pending</t>
        </is>
      </c>
      <c r="Q29" s="10" t="inlineStr"/>
      <c r="R29" s="14">
        <f>IF(OR(K29="Closed",L29=""),"",MAX(0,TODAY()-L29))</f>
        <v/>
      </c>
      <c r="S29" s="10" t="inlineStr"/>
    </row>
    <row r="30" ht="32" customHeight="1">
      <c r="C30" s="10" t="inlineStr">
        <is>
          <t>RFI-022</t>
        </is>
      </c>
      <c r="D30" s="10" t="inlineStr">
        <is>
          <t>Process &amp; Validation</t>
        </is>
      </c>
      <c r="E30" s="10" t="inlineStr">
        <is>
          <t>Provide detailed process flow, synthesis route, scale, CPPs, CQAs, in-process controls, hold times and material balance.</t>
        </is>
      </c>
      <c r="F30" s="10" t="inlineStr">
        <is>
          <t>High</t>
        </is>
      </c>
      <c r="G30" s="10" t="inlineStr">
        <is>
          <t>Manufacturers</t>
        </is>
      </c>
      <c r="H30" s="10" t="inlineStr"/>
      <c r="I30" s="10" t="inlineStr">
        <is>
          <t>Pre-audit</t>
        </is>
      </c>
      <c r="J30" s="10" t="inlineStr"/>
      <c r="K30" s="10" t="inlineStr">
        <is>
          <t>Not Started</t>
        </is>
      </c>
      <c r="L30" s="16" t="inlineStr"/>
      <c r="M30" s="13" t="n">
        <v>10</v>
      </c>
      <c r="N30" s="17">
        <f>IF(L30="","",L30+M30)</f>
        <v/>
      </c>
      <c r="O30" s="16" t="inlineStr"/>
      <c r="P30" s="10" t="inlineStr">
        <is>
          <t>Pending</t>
        </is>
      </c>
      <c r="Q30" s="10" t="inlineStr"/>
      <c r="R30" s="14">
        <f>IF(OR(K30="Closed",L30=""),"",MAX(0,TODAY()-L30))</f>
        <v/>
      </c>
      <c r="S30" s="10" t="inlineStr"/>
    </row>
    <row r="31" ht="32" customHeight="1">
      <c r="C31" s="10" t="inlineStr">
        <is>
          <t>RFI-023</t>
        </is>
      </c>
      <c r="D31" s="10" t="inlineStr">
        <is>
          <t>Process &amp; Validation</t>
        </is>
      </c>
      <c r="E31" s="10" t="inlineStr">
        <is>
          <t>Provide three PPQ or representative commercial-scale batch records and summary reports for the proposed site/train.</t>
        </is>
      </c>
      <c r="F31" s="10" t="inlineStr">
        <is>
          <t>High</t>
        </is>
      </c>
      <c r="G31" s="10" t="inlineStr">
        <is>
          <t>Manufacturers</t>
        </is>
      </c>
      <c r="H31" s="10" t="inlineStr"/>
      <c r="I31" s="10" t="inlineStr">
        <is>
          <t>Pre-contract</t>
        </is>
      </c>
      <c r="J31" s="10" t="inlineStr"/>
      <c r="K31" s="10" t="inlineStr">
        <is>
          <t>Not Started</t>
        </is>
      </c>
      <c r="L31" s="16" t="inlineStr"/>
      <c r="M31" s="13" t="n">
        <v>10</v>
      </c>
      <c r="N31" s="17">
        <f>IF(L31="","",L31+M31)</f>
        <v/>
      </c>
      <c r="O31" s="16" t="inlineStr"/>
      <c r="P31" s="10" t="inlineStr">
        <is>
          <t>Pending</t>
        </is>
      </c>
      <c r="Q31" s="10" t="inlineStr"/>
      <c r="R31" s="14">
        <f>IF(OR(K31="Closed",L31=""),"",MAX(0,TODAY()-L31))</f>
        <v/>
      </c>
      <c r="S31" s="10" t="inlineStr"/>
    </row>
    <row r="32" ht="32" customHeight="1">
      <c r="C32" s="10" t="inlineStr">
        <is>
          <t>RFI-024</t>
        </is>
      </c>
      <c r="D32" s="10" t="inlineStr">
        <is>
          <t>Process &amp; Validation</t>
        </is>
      </c>
      <c r="E32" s="10" t="inlineStr">
        <is>
          <t>Provide CPV/APR/PQR trends for yield, purity, critical impurities, deviations, OOS/OOT, complaints and changes for 36 months.</t>
        </is>
      </c>
      <c r="F32" s="10" t="inlineStr">
        <is>
          <t>High</t>
        </is>
      </c>
      <c r="G32" s="10" t="inlineStr">
        <is>
          <t>Manufacturers</t>
        </is>
      </c>
      <c r="H32" s="10" t="inlineStr"/>
      <c r="I32" s="10" t="inlineStr">
        <is>
          <t>Pre-contract</t>
        </is>
      </c>
      <c r="J32" s="10" t="inlineStr"/>
      <c r="K32" s="10" t="inlineStr">
        <is>
          <t>Not Started</t>
        </is>
      </c>
      <c r="L32" s="16" t="inlineStr"/>
      <c r="M32" s="13" t="n">
        <v>10</v>
      </c>
      <c r="N32" s="17">
        <f>IF(L32="","",L32+M32)</f>
        <v/>
      </c>
      <c r="O32" s="16" t="inlineStr"/>
      <c r="P32" s="10" t="inlineStr">
        <is>
          <t>Pending</t>
        </is>
      </c>
      <c r="Q32" s="10" t="inlineStr"/>
      <c r="R32" s="14">
        <f>IF(OR(K32="Closed",L32=""),"",MAX(0,TODAY()-L32))</f>
        <v/>
      </c>
      <c r="S32" s="10" t="inlineStr"/>
    </row>
    <row r="33" ht="32" customHeight="1">
      <c r="C33" s="10" t="inlineStr">
        <is>
          <t>RFI-025</t>
        </is>
      </c>
      <c r="D33" s="10" t="inlineStr">
        <is>
          <t>Process &amp; Validation</t>
        </is>
      </c>
      <c r="E33" s="10" t="inlineStr">
        <is>
          <t>Provide impurity fate/purge and control strategy for deletions, insertions, truncations, epimers, oxidation, deamidation/aspartimide and aggregation.</t>
        </is>
      </c>
      <c r="F33" s="10" t="inlineStr">
        <is>
          <t>High</t>
        </is>
      </c>
      <c r="G33" s="10" t="inlineStr">
        <is>
          <t>Manufacturers</t>
        </is>
      </c>
      <c r="H33" s="10" t="inlineStr"/>
      <c r="I33" s="10" t="inlineStr">
        <is>
          <t>Pre-audit</t>
        </is>
      </c>
      <c r="J33" s="10" t="inlineStr"/>
      <c r="K33" s="10" t="inlineStr">
        <is>
          <t>Not Started</t>
        </is>
      </c>
      <c r="L33" s="16" t="inlineStr"/>
      <c r="M33" s="13" t="n">
        <v>10</v>
      </c>
      <c r="N33" s="17">
        <f>IF(L33="","",L33+M33)</f>
        <v/>
      </c>
      <c r="O33" s="16" t="inlineStr"/>
      <c r="P33" s="10" t="inlineStr">
        <is>
          <t>Pending</t>
        </is>
      </c>
      <c r="Q33" s="10" t="inlineStr"/>
      <c r="R33" s="14">
        <f>IF(OR(K33="Closed",L33=""),"",MAX(0,TODAY()-L33))</f>
        <v/>
      </c>
      <c r="S33" s="10" t="inlineStr"/>
    </row>
    <row r="34" ht="32" customHeight="1">
      <c r="C34" s="10" t="inlineStr">
        <is>
          <t>RFI-026</t>
        </is>
      </c>
      <c r="D34" s="10" t="inlineStr">
        <is>
          <t>Process &amp; Validation</t>
        </is>
      </c>
      <c r="E34" s="10" t="inlineStr">
        <is>
          <t>Provide controls for residual protecting groups, scavengers, coupling reagents, counter-ion, solvents, elemental/genotoxic/nitrosamine and resin/linker leachables.</t>
        </is>
      </c>
      <c r="F34" s="10" t="inlineStr">
        <is>
          <t>High</t>
        </is>
      </c>
      <c r="G34" s="10" t="inlineStr">
        <is>
          <t>Manufacturers</t>
        </is>
      </c>
      <c r="H34" s="10" t="inlineStr"/>
      <c r="I34" s="10" t="inlineStr">
        <is>
          <t>Pre-audit</t>
        </is>
      </c>
      <c r="J34" s="10" t="inlineStr"/>
      <c r="K34" s="10" t="inlineStr">
        <is>
          <t>Not Started</t>
        </is>
      </c>
      <c r="L34" s="16" t="inlineStr"/>
      <c r="M34" s="13" t="n">
        <v>10</v>
      </c>
      <c r="N34" s="17">
        <f>IF(L34="","",L34+M34)</f>
        <v/>
      </c>
      <c r="O34" s="16" t="inlineStr"/>
      <c r="P34" s="10" t="inlineStr">
        <is>
          <t>Pending</t>
        </is>
      </c>
      <c r="Q34" s="10" t="inlineStr"/>
      <c r="R34" s="14">
        <f>IF(OR(K34="Closed",L34=""),"",MAX(0,TODAY()-L34))</f>
        <v/>
      </c>
      <c r="S34" s="10" t="inlineStr"/>
    </row>
    <row r="35" ht="32" customHeight="1">
      <c r="C35" s="10" t="inlineStr">
        <is>
          <t>RFI-027</t>
        </is>
      </c>
      <c r="D35" s="10" t="inlineStr">
        <is>
          <t>Process &amp; Validation</t>
        </is>
      </c>
      <c r="E35" s="10" t="inlineStr">
        <is>
          <t>Provide cleaning validation, HBEL/carryover rationale, campaign strategy and shared-equipment product matrix.</t>
        </is>
      </c>
      <c r="F35" s="10" t="inlineStr">
        <is>
          <t>High</t>
        </is>
      </c>
      <c r="G35" s="10" t="inlineStr">
        <is>
          <t>Manufacturers</t>
        </is>
      </c>
      <c r="H35" s="10" t="inlineStr"/>
      <c r="I35" s="10" t="inlineStr">
        <is>
          <t>No-Go</t>
        </is>
      </c>
      <c r="J35" s="10" t="inlineStr"/>
      <c r="K35" s="10" t="inlineStr">
        <is>
          <t>Not Started</t>
        </is>
      </c>
      <c r="L35" s="16" t="inlineStr"/>
      <c r="M35" s="13" t="n">
        <v>10</v>
      </c>
      <c r="N35" s="17">
        <f>IF(L35="","",L35+M35)</f>
        <v/>
      </c>
      <c r="O35" s="16" t="inlineStr"/>
      <c r="P35" s="10" t="inlineStr">
        <is>
          <t>Pending</t>
        </is>
      </c>
      <c r="Q35" s="10" t="inlineStr"/>
      <c r="R35" s="14">
        <f>IF(OR(K35="Closed",L35=""),"",MAX(0,TODAY()-L35))</f>
        <v/>
      </c>
      <c r="S35" s="10" t="inlineStr"/>
    </row>
    <row r="36" ht="32" customHeight="1">
      <c r="C36" s="10" t="inlineStr">
        <is>
          <t>RFI-028</t>
        </is>
      </c>
      <c r="D36" s="10" t="inlineStr">
        <is>
          <t>Process &amp; Validation</t>
        </is>
      </c>
      <c r="E36" s="10" t="inlineStr">
        <is>
          <t>List all reprocessing, rework, atypical yield and low-purity batches for 36 months with approved rationale and outcome.</t>
        </is>
      </c>
      <c r="F36" s="10" t="inlineStr">
        <is>
          <t>Medium</t>
        </is>
      </c>
      <c r="G36" s="10" t="inlineStr">
        <is>
          <t>Manufacturers</t>
        </is>
      </c>
      <c r="H36" s="10" t="inlineStr"/>
      <c r="I36" s="10" t="inlineStr">
        <is>
          <t>Pre-contract</t>
        </is>
      </c>
      <c r="J36" s="10" t="inlineStr"/>
      <c r="K36" s="10" t="inlineStr">
        <is>
          <t>Not Started</t>
        </is>
      </c>
      <c r="L36" s="16" t="inlineStr"/>
      <c r="M36" s="13" t="n">
        <v>10</v>
      </c>
      <c r="N36" s="17">
        <f>IF(L36="","",L36+M36)</f>
        <v/>
      </c>
      <c r="O36" s="16" t="inlineStr"/>
      <c r="P36" s="10" t="inlineStr">
        <is>
          <t>Pending</t>
        </is>
      </c>
      <c r="Q36" s="10" t="inlineStr"/>
      <c r="R36" s="14">
        <f>IF(OR(K36="Closed",L36=""),"",MAX(0,TODAY()-L36))</f>
        <v/>
      </c>
      <c r="S36" s="10" t="inlineStr"/>
    </row>
    <row r="37" ht="32" customHeight="1">
      <c r="C37" s="10" t="inlineStr">
        <is>
          <t>RFI-029</t>
        </is>
      </c>
      <c r="D37" s="10" t="inlineStr">
        <is>
          <t>Process &amp; Validation</t>
        </is>
      </c>
      <c r="E37" s="10" t="inlineStr">
        <is>
          <t>Provide equipment/utility qualification, preventive maintenance, calibration, alarms, backup utilities and disaster recovery for critical trains.</t>
        </is>
      </c>
      <c r="F37" s="10" t="inlineStr">
        <is>
          <t>Medium</t>
        </is>
      </c>
      <c r="G37" s="10" t="inlineStr">
        <is>
          <t>Manufacturers</t>
        </is>
      </c>
      <c r="H37" s="10" t="inlineStr"/>
      <c r="I37" s="10" t="inlineStr">
        <is>
          <t>Pre-contract</t>
        </is>
      </c>
      <c r="J37" s="10" t="inlineStr"/>
      <c r="K37" s="10" t="inlineStr">
        <is>
          <t>Not Started</t>
        </is>
      </c>
      <c r="L37" s="16" t="inlineStr"/>
      <c r="M37" s="13" t="n">
        <v>10</v>
      </c>
      <c r="N37" s="17">
        <f>IF(L37="","",L37+M37)</f>
        <v/>
      </c>
      <c r="O37" s="16" t="inlineStr"/>
      <c r="P37" s="10" t="inlineStr">
        <is>
          <t>Pending</t>
        </is>
      </c>
      <c r="Q37" s="10" t="inlineStr"/>
      <c r="R37" s="14">
        <f>IF(OR(K37="Closed",L37=""),"",MAX(0,TODAY()-L37))</f>
        <v/>
      </c>
      <c r="S37" s="10" t="inlineStr"/>
    </row>
    <row r="38" ht="32" customHeight="1">
      <c r="C38" s="10" t="inlineStr">
        <is>
          <t>RFI-030</t>
        </is>
      </c>
      <c r="D38" s="10" t="inlineStr">
        <is>
          <t>Analytical &amp; Data Integrity</t>
        </is>
      </c>
      <c r="E38" s="10" t="inlineStr">
        <is>
          <t>Provide the registered release and stability specification, pharmacopoeial commitments and method list for API and drug product.</t>
        </is>
      </c>
      <c r="F38" s="10" t="inlineStr">
        <is>
          <t>High</t>
        </is>
      </c>
      <c r="G38" s="10" t="inlineStr">
        <is>
          <t>Manufacturers &amp; Laboratories</t>
        </is>
      </c>
      <c r="H38" s="10" t="inlineStr"/>
      <c r="I38" s="10" t="inlineStr">
        <is>
          <t>Pre-audit</t>
        </is>
      </c>
      <c r="J38" s="10" t="inlineStr"/>
      <c r="K38" s="10" t="inlineStr">
        <is>
          <t>Not Started</t>
        </is>
      </c>
      <c r="L38" s="16" t="inlineStr"/>
      <c r="M38" s="13" t="n">
        <v>10</v>
      </c>
      <c r="N38" s="17">
        <f>IF(L38="","",L38+M38)</f>
        <v/>
      </c>
      <c r="O38" s="16" t="inlineStr"/>
      <c r="P38" s="10" t="inlineStr">
        <is>
          <t>Pending</t>
        </is>
      </c>
      <c r="Q38" s="10" t="inlineStr"/>
      <c r="R38" s="14">
        <f>IF(OR(K38="Closed",L38=""),"",MAX(0,TODAY()-L38))</f>
        <v/>
      </c>
      <c r="S38" s="10" t="inlineStr"/>
    </row>
    <row r="39" ht="32" customHeight="1">
      <c r="C39" s="10" t="inlineStr">
        <is>
          <t>RFI-031</t>
        </is>
      </c>
      <c r="D39" s="10" t="inlineStr">
        <is>
          <t>Analytical &amp; Data Integrity</t>
        </is>
      </c>
      <c r="E39" s="10" t="inlineStr">
        <is>
          <t>Provide method validation/verification/transfer reports for identity, assay, purity, related substances and all applicable residual/physical/microbial tests.</t>
        </is>
      </c>
      <c r="F39" s="10" t="inlineStr">
        <is>
          <t>High</t>
        </is>
      </c>
      <c r="G39" s="10" t="inlineStr">
        <is>
          <t>Manufacturers &amp; Laboratories</t>
        </is>
      </c>
      <c r="H39" s="10" t="inlineStr"/>
      <c r="I39" s="10" t="inlineStr">
        <is>
          <t>Pre-contract</t>
        </is>
      </c>
      <c r="J39" s="10" t="inlineStr"/>
      <c r="K39" s="10" t="inlineStr">
        <is>
          <t>Not Started</t>
        </is>
      </c>
      <c r="L39" s="16" t="inlineStr"/>
      <c r="M39" s="13" t="n">
        <v>10</v>
      </c>
      <c r="N39" s="17">
        <f>IF(L39="","",L39+M39)</f>
        <v/>
      </c>
      <c r="O39" s="16" t="inlineStr"/>
      <c r="P39" s="10" t="inlineStr">
        <is>
          <t>Pending</t>
        </is>
      </c>
      <c r="Q39" s="10" t="inlineStr"/>
      <c r="R39" s="14">
        <f>IF(OR(K39="Closed",L39=""),"",MAX(0,TODAY()-L39))</f>
        <v/>
      </c>
      <c r="S39" s="10" t="inlineStr"/>
    </row>
    <row r="40" ht="32" customHeight="1">
      <c r="C40" s="10" t="inlineStr">
        <is>
          <t>RFI-032</t>
        </is>
      </c>
      <c r="D40" s="10" t="inlineStr">
        <is>
          <t>Analytical &amp; Data Integrity</t>
        </is>
      </c>
      <c r="E40" s="10" t="inlineStr">
        <is>
          <t>Provide reference-standard qualification, potency/water/counter-ion assignment, traceability, storage, retest and reconciliation controls.</t>
        </is>
      </c>
      <c r="F40" s="10" t="inlineStr">
        <is>
          <t>High</t>
        </is>
      </c>
      <c r="G40" s="10" t="inlineStr">
        <is>
          <t>Manufacturers &amp; Laboratories</t>
        </is>
      </c>
      <c r="H40" s="10" t="inlineStr"/>
      <c r="I40" s="10" t="inlineStr">
        <is>
          <t>Pre-contract</t>
        </is>
      </c>
      <c r="J40" s="10" t="inlineStr"/>
      <c r="K40" s="10" t="inlineStr">
        <is>
          <t>Not Started</t>
        </is>
      </c>
      <c r="L40" s="16" t="inlineStr"/>
      <c r="M40" s="13" t="n">
        <v>10</v>
      </c>
      <c r="N40" s="17">
        <f>IF(L40="","",L40+M40)</f>
        <v/>
      </c>
      <c r="O40" s="16" t="inlineStr"/>
      <c r="P40" s="10" t="inlineStr">
        <is>
          <t>Pending</t>
        </is>
      </c>
      <c r="Q40" s="10" t="inlineStr"/>
      <c r="R40" s="14">
        <f>IF(OR(K40="Closed",L40=""),"",MAX(0,TODAY()-L40))</f>
        <v/>
      </c>
      <c r="S40" s="10" t="inlineStr"/>
    </row>
    <row r="41" ht="32" customHeight="1">
      <c r="C41" s="10" t="inlineStr">
        <is>
          <t>RFI-033</t>
        </is>
      </c>
      <c r="D41" s="10" t="inlineStr">
        <is>
          <t>Analytical &amp; Data Integrity</t>
        </is>
      </c>
      <c r="E41" s="10" t="inlineStr">
        <is>
          <t>Provide representative CoAs and complete native raw-data packages, including chromatograms, spectra, metadata, audit trails and integration history.</t>
        </is>
      </c>
      <c r="F41" s="10" t="inlineStr">
        <is>
          <t>High</t>
        </is>
      </c>
      <c r="G41" s="10" t="inlineStr">
        <is>
          <t>Manufacturers &amp; Laboratories</t>
        </is>
      </c>
      <c r="H41" s="10" t="inlineStr"/>
      <c r="I41" s="10" t="inlineStr">
        <is>
          <t>Pre-audit</t>
        </is>
      </c>
      <c r="J41" s="10" t="inlineStr"/>
      <c r="K41" s="10" t="inlineStr">
        <is>
          <t>Not Started</t>
        </is>
      </c>
      <c r="L41" s="16" t="inlineStr"/>
      <c r="M41" s="13" t="n">
        <v>10</v>
      </c>
      <c r="N41" s="17">
        <f>IF(L41="","",L41+M41)</f>
        <v/>
      </c>
      <c r="O41" s="16" t="inlineStr"/>
      <c r="P41" s="10" t="inlineStr">
        <is>
          <t>Pending</t>
        </is>
      </c>
      <c r="Q41" s="10" t="inlineStr"/>
      <c r="R41" s="14">
        <f>IF(OR(K41="Closed",L41=""),"",MAX(0,TODAY()-L41))</f>
        <v/>
      </c>
      <c r="S41" s="10" t="inlineStr"/>
    </row>
    <row r="42" ht="32" customHeight="1">
      <c r="C42" s="10" t="inlineStr">
        <is>
          <t>RFI-034</t>
        </is>
      </c>
      <c r="D42" s="10" t="inlineStr">
        <is>
          <t>Analytical &amp; Data Integrity</t>
        </is>
      </c>
      <c r="E42" s="10" t="inlineStr">
        <is>
          <t>Provide OOS, OOT, deviation, invalidation, retest/resample and CAPA metrics and case lists for 36 months.</t>
        </is>
      </c>
      <c r="F42" s="10" t="inlineStr">
        <is>
          <t>High</t>
        </is>
      </c>
      <c r="G42" s="10" t="inlineStr">
        <is>
          <t>Manufacturers &amp; Laboratories</t>
        </is>
      </c>
      <c r="H42" s="10" t="inlineStr"/>
      <c r="I42" s="10" t="inlineStr">
        <is>
          <t>Pre-audit</t>
        </is>
      </c>
      <c r="J42" s="10" t="inlineStr"/>
      <c r="K42" s="10" t="inlineStr">
        <is>
          <t>Not Started</t>
        </is>
      </c>
      <c r="L42" s="16" t="inlineStr"/>
      <c r="M42" s="13" t="n">
        <v>10</v>
      </c>
      <c r="N42" s="17">
        <f>IF(L42="","",L42+M42)</f>
        <v/>
      </c>
      <c r="O42" s="16" t="inlineStr"/>
      <c r="P42" s="10" t="inlineStr">
        <is>
          <t>Pending</t>
        </is>
      </c>
      <c r="Q42" s="10" t="inlineStr"/>
      <c r="R42" s="14">
        <f>IF(OR(K42="Closed",L42=""),"",MAX(0,TODAY()-L42))</f>
        <v/>
      </c>
      <c r="S42" s="10" t="inlineStr"/>
    </row>
    <row r="43" ht="32" customHeight="1">
      <c r="C43" s="10" t="inlineStr">
        <is>
          <t>RFI-035</t>
        </is>
      </c>
      <c r="D43" s="10" t="inlineStr">
        <is>
          <t>Analytical &amp; Data Integrity</t>
        </is>
      </c>
      <c r="E43" s="10" t="inlineStr">
        <is>
          <t>Provide chromatography and laboratory-system user-role matrices, administrator independence, audit-trail review and deleted/aborted sequence controls.</t>
        </is>
      </c>
      <c r="F43" s="10" t="inlineStr">
        <is>
          <t>High</t>
        </is>
      </c>
      <c r="G43" s="10" t="inlineStr">
        <is>
          <t>Manufacturers &amp; Laboratories</t>
        </is>
      </c>
      <c r="H43" s="10" t="inlineStr"/>
      <c r="I43" s="10" t="inlineStr">
        <is>
          <t>No-Go</t>
        </is>
      </c>
      <c r="J43" s="10" t="inlineStr"/>
      <c r="K43" s="10" t="inlineStr">
        <is>
          <t>Not Started</t>
        </is>
      </c>
      <c r="L43" s="16" t="inlineStr"/>
      <c r="M43" s="13" t="n">
        <v>10</v>
      </c>
      <c r="N43" s="17">
        <f>IF(L43="","",L43+M43)</f>
        <v/>
      </c>
      <c r="O43" s="16" t="inlineStr"/>
      <c r="P43" s="10" t="inlineStr">
        <is>
          <t>Pending</t>
        </is>
      </c>
      <c r="Q43" s="10" t="inlineStr"/>
      <c r="R43" s="14">
        <f>IF(OR(K43="Closed",L43=""),"",MAX(0,TODAY()-L43))</f>
        <v/>
      </c>
      <c r="S43" s="10" t="inlineStr"/>
    </row>
    <row r="44" ht="32" customHeight="1">
      <c r="C44" s="10" t="inlineStr">
        <is>
          <t>RFI-036</t>
        </is>
      </c>
      <c r="D44" s="10" t="inlineStr">
        <is>
          <t>Analytical &amp; Data Integrity</t>
        </is>
      </c>
      <c r="E44" s="10" t="inlineStr">
        <is>
          <t>Provide computerized-system inventory, validation status, backup/restore tests, cybersecurity controls, data retention and disaster recovery.</t>
        </is>
      </c>
      <c r="F44" s="10" t="inlineStr">
        <is>
          <t>Medium</t>
        </is>
      </c>
      <c r="G44" s="10" t="inlineStr">
        <is>
          <t>Manufacturers &amp; Laboratories</t>
        </is>
      </c>
      <c r="H44" s="10" t="inlineStr"/>
      <c r="I44" s="10" t="inlineStr">
        <is>
          <t>Pre-contract</t>
        </is>
      </c>
      <c r="J44" s="10" t="inlineStr"/>
      <c r="K44" s="10" t="inlineStr">
        <is>
          <t>Not Started</t>
        </is>
      </c>
      <c r="L44" s="16" t="inlineStr"/>
      <c r="M44" s="13" t="n">
        <v>10</v>
      </c>
      <c r="N44" s="17">
        <f>IF(L44="","",L44+M44)</f>
        <v/>
      </c>
      <c r="O44" s="16" t="inlineStr"/>
      <c r="P44" s="10" t="inlineStr">
        <is>
          <t>Pending</t>
        </is>
      </c>
      <c r="Q44" s="10" t="inlineStr"/>
      <c r="R44" s="14">
        <f>IF(OR(K44="Closed",L44=""),"",MAX(0,TODAY()-L44))</f>
        <v/>
      </c>
      <c r="S44" s="10" t="inlineStr"/>
    </row>
    <row r="45" ht="32" customHeight="1">
      <c r="C45" s="10" t="inlineStr">
        <is>
          <t>RFI-037</t>
        </is>
      </c>
      <c r="D45" s="10" t="inlineStr">
        <is>
          <t>Analytical &amp; Data Integrity</t>
        </is>
      </c>
      <c r="E45" s="10" t="inlineStr">
        <is>
          <t>Identify every outsourced test, physical site, method, regulated scope, raw-data owner and quality agreement.</t>
        </is>
      </c>
      <c r="F45" s="10" t="inlineStr">
        <is>
          <t>High</t>
        </is>
      </c>
      <c r="G45" s="10" t="inlineStr">
        <is>
          <t>Manufacturers &amp; Laboratories</t>
        </is>
      </c>
      <c r="H45" s="10" t="inlineStr"/>
      <c r="I45" s="10" t="inlineStr">
        <is>
          <t>No-Go</t>
        </is>
      </c>
      <c r="J45" s="10" t="inlineStr"/>
      <c r="K45" s="10" t="inlineStr">
        <is>
          <t>Not Started</t>
        </is>
      </c>
      <c r="L45" s="16" t="inlineStr"/>
      <c r="M45" s="13" t="n">
        <v>10</v>
      </c>
      <c r="N45" s="17">
        <f>IF(L45="","",L45+M45)</f>
        <v/>
      </c>
      <c r="O45" s="16" t="inlineStr"/>
      <c r="P45" s="10" t="inlineStr">
        <is>
          <t>Pending</t>
        </is>
      </c>
      <c r="Q45" s="10" t="inlineStr"/>
      <c r="R45" s="14">
        <f>IF(OR(K45="Closed",L45=""),"",MAX(0,TODAY()-L45))</f>
        <v/>
      </c>
      <c r="S45" s="10" t="inlineStr"/>
    </row>
    <row r="46" ht="32" customHeight="1">
      <c r="C46" s="10" t="inlineStr">
        <is>
          <t>RFI-038</t>
        </is>
      </c>
      <c r="D46" s="10" t="inlineStr">
        <is>
          <t>Raw Materials &amp; Supply Network</t>
        </is>
      </c>
      <c r="E46" s="10" t="inlineStr">
        <is>
          <t>Provide manufacturer, site and country of origin for each protected/non-natural amino acid, resin/linker/anchor, side chain and critical building block.</t>
        </is>
      </c>
      <c r="F46" s="10" t="inlineStr">
        <is>
          <t>High</t>
        </is>
      </c>
      <c r="G46" s="10" t="inlineStr">
        <is>
          <t>Manufacturers</t>
        </is>
      </c>
      <c r="H46" s="10" t="inlineStr"/>
      <c r="I46" s="10" t="inlineStr">
        <is>
          <t>Pre-audit</t>
        </is>
      </c>
      <c r="J46" s="10" t="inlineStr"/>
      <c r="K46" s="10" t="inlineStr">
        <is>
          <t>Not Started</t>
        </is>
      </c>
      <c r="L46" s="16" t="inlineStr"/>
      <c r="M46" s="13" t="n">
        <v>10</v>
      </c>
      <c r="N46" s="17">
        <f>IF(L46="","",L46+M46)</f>
        <v/>
      </c>
      <c r="O46" s="16" t="inlineStr"/>
      <c r="P46" s="10" t="inlineStr">
        <is>
          <t>Pending</t>
        </is>
      </c>
      <c r="Q46" s="10" t="inlineStr"/>
      <c r="R46" s="14">
        <f>IF(OR(K46="Closed",L46=""),"",MAX(0,TODAY()-L46))</f>
        <v/>
      </c>
      <c r="S46" s="10" t="inlineStr"/>
    </row>
    <row r="47" ht="32" customHeight="1">
      <c r="C47" s="10" t="inlineStr">
        <is>
          <t>RFI-039</t>
        </is>
      </c>
      <c r="D47" s="10" t="inlineStr">
        <is>
          <t>Raw Materials &amp; Supply Network</t>
        </is>
      </c>
      <c r="E47" s="10" t="inlineStr">
        <is>
          <t>Provide approved supplier list, qualification/audit status, quality agreements, incoming specification and change-notification terms for critical materials.</t>
        </is>
      </c>
      <c r="F47" s="10" t="inlineStr">
        <is>
          <t>High</t>
        </is>
      </c>
      <c r="G47" s="10" t="inlineStr">
        <is>
          <t>Manufacturers</t>
        </is>
      </c>
      <c r="H47" s="10" t="inlineStr"/>
      <c r="I47" s="10" t="inlineStr">
        <is>
          <t>Pre-contract</t>
        </is>
      </c>
      <c r="J47" s="10" t="inlineStr"/>
      <c r="K47" s="10" t="inlineStr">
        <is>
          <t>Not Started</t>
        </is>
      </c>
      <c r="L47" s="16" t="inlineStr"/>
      <c r="M47" s="13" t="n">
        <v>10</v>
      </c>
      <c r="N47" s="17">
        <f>IF(L47="","",L47+M47)</f>
        <v/>
      </c>
      <c r="O47" s="16" t="inlineStr"/>
      <c r="P47" s="10" t="inlineStr">
        <is>
          <t>Pending</t>
        </is>
      </c>
      <c r="Q47" s="10" t="inlineStr"/>
      <c r="R47" s="14">
        <f>IF(OR(K47="Closed",L47=""),"",MAX(0,TODAY()-L47))</f>
        <v/>
      </c>
      <c r="S47" s="10" t="inlineStr"/>
    </row>
    <row r="48" ht="32" customHeight="1">
      <c r="C48" s="10" t="inlineStr">
        <is>
          <t>RFI-040</t>
        </is>
      </c>
      <c r="D48" s="10" t="inlineStr">
        <is>
          <t>Raw Materials &amp; Supply Network</t>
        </is>
      </c>
      <c r="E48" s="10" t="inlineStr">
        <is>
          <t>Identify single-source items, second-source qualification status, safety-stock days, lead times and allocation rights.</t>
        </is>
      </c>
      <c r="F48" s="10" t="inlineStr">
        <is>
          <t>High</t>
        </is>
      </c>
      <c r="G48" s="10" t="inlineStr">
        <is>
          <t>Manufacturers</t>
        </is>
      </c>
      <c r="H48" s="10" t="inlineStr"/>
      <c r="I48" s="10" t="inlineStr">
        <is>
          <t>Pre-contract</t>
        </is>
      </c>
      <c r="J48" s="10" t="inlineStr"/>
      <c r="K48" s="10" t="inlineStr">
        <is>
          <t>Not Started</t>
        </is>
      </c>
      <c r="L48" s="16" t="inlineStr"/>
      <c r="M48" s="13" t="n">
        <v>10</v>
      </c>
      <c r="N48" s="17">
        <f>IF(L48="","",L48+M48)</f>
        <v/>
      </c>
      <c r="O48" s="16" t="inlineStr"/>
      <c r="P48" s="10" t="inlineStr">
        <is>
          <t>Pending</t>
        </is>
      </c>
      <c r="Q48" s="10" t="inlineStr"/>
      <c r="R48" s="14">
        <f>IF(OR(K48="Closed",L48=""),"",MAX(0,TODAY()-L48))</f>
        <v/>
      </c>
      <c r="S48" s="10" t="inlineStr"/>
    </row>
    <row r="49" ht="32" customHeight="1">
      <c r="C49" s="10" t="inlineStr">
        <is>
          <t>RFI-041</t>
        </is>
      </c>
      <c r="D49" s="10" t="inlineStr">
        <is>
          <t>Raw Materials &amp; Supply Network</t>
        </is>
      </c>
      <c r="E49" s="10" t="inlineStr">
        <is>
          <t>Provide resin/linker leachables, chiral impurity, TSE/BSE, elemental, nitrosamine/genotoxic and solvent-origin risk assessments.</t>
        </is>
      </c>
      <c r="F49" s="10" t="inlineStr">
        <is>
          <t>Medium</t>
        </is>
      </c>
      <c r="G49" s="10" t="inlineStr">
        <is>
          <t>Manufacturers</t>
        </is>
      </c>
      <c r="H49" s="10" t="inlineStr"/>
      <c r="I49" s="10" t="inlineStr">
        <is>
          <t>Pre-contract</t>
        </is>
      </c>
      <c r="J49" s="10" t="inlineStr"/>
      <c r="K49" s="10" t="inlineStr">
        <is>
          <t>Not Started</t>
        </is>
      </c>
      <c r="L49" s="16" t="inlineStr"/>
      <c r="M49" s="13" t="n">
        <v>10</v>
      </c>
      <c r="N49" s="17">
        <f>IF(L49="","",L49+M49)</f>
        <v/>
      </c>
      <c r="O49" s="16" t="inlineStr"/>
      <c r="P49" s="10" t="inlineStr">
        <is>
          <t>Pending</t>
        </is>
      </c>
      <c r="Q49" s="10" t="inlineStr"/>
      <c r="R49" s="14">
        <f>IF(OR(K49="Closed",L49=""),"",MAX(0,TODAY()-L49))</f>
        <v/>
      </c>
      <c r="S49" s="10" t="inlineStr"/>
    </row>
    <row r="50" ht="32" customHeight="1">
      <c r="C50" s="10" t="inlineStr">
        <is>
          <t>RFI-042</t>
        </is>
      </c>
      <c r="D50" s="10" t="inlineStr">
        <is>
          <t>Raw Materials &amp; Supply Network</t>
        </is>
      </c>
      <c r="E50" s="10" t="inlineStr">
        <is>
          <t>Provide country/origin and recovery controls for acetonitrile, DMF/NMP/DCM, TFA, scavengers, coupling reagents and chromatography media.</t>
        </is>
      </c>
      <c r="F50" s="10" t="inlineStr">
        <is>
          <t>Medium</t>
        </is>
      </c>
      <c r="G50" s="10" t="inlineStr">
        <is>
          <t>Manufacturers</t>
        </is>
      </c>
      <c r="H50" s="10" t="inlineStr"/>
      <c r="I50" s="10" t="inlineStr">
        <is>
          <t>Pre-contract</t>
        </is>
      </c>
      <c r="J50" s="10" t="inlineStr"/>
      <c r="K50" s="10" t="inlineStr">
        <is>
          <t>Not Started</t>
        </is>
      </c>
      <c r="L50" s="16" t="inlineStr"/>
      <c r="M50" s="13" t="n">
        <v>10</v>
      </c>
      <c r="N50" s="17">
        <f>IF(L50="","",L50+M50)</f>
        <v/>
      </c>
      <c r="O50" s="16" t="inlineStr"/>
      <c r="P50" s="10" t="inlineStr">
        <is>
          <t>Pending</t>
        </is>
      </c>
      <c r="Q50" s="10" t="inlineStr"/>
      <c r="R50" s="14">
        <f>IF(OR(K50="Closed",L50=""),"",MAX(0,TODAY()-L50))</f>
        <v/>
      </c>
      <c r="S50" s="10" t="inlineStr"/>
    </row>
    <row r="51" ht="32" customHeight="1">
      <c r="C51" s="10" t="inlineStr">
        <is>
          <t>RFI-043</t>
        </is>
      </c>
      <c r="D51" s="10" t="inlineStr">
        <is>
          <t>Raw Materials &amp; Supply Network</t>
        </is>
      </c>
      <c r="E51" s="10" t="inlineStr">
        <is>
          <t>Map all subcontractors for external testing, sterilization, storage, device/components, packaging, transport and final release.</t>
        </is>
      </c>
      <c r="F51" s="10" t="inlineStr">
        <is>
          <t>High</t>
        </is>
      </c>
      <c r="G51" s="10" t="inlineStr">
        <is>
          <t>Manufacturers</t>
        </is>
      </c>
      <c r="H51" s="10" t="inlineStr"/>
      <c r="I51" s="10" t="inlineStr">
        <is>
          <t>No-Go</t>
        </is>
      </c>
      <c r="J51" s="10" t="inlineStr"/>
      <c r="K51" s="10" t="inlineStr">
        <is>
          <t>Not Started</t>
        </is>
      </c>
      <c r="L51" s="16" t="inlineStr"/>
      <c r="M51" s="13" t="n">
        <v>10</v>
      </c>
      <c r="N51" s="17">
        <f>IF(L51="","",L51+M51)</f>
        <v/>
      </c>
      <c r="O51" s="16" t="inlineStr"/>
      <c r="P51" s="10" t="inlineStr">
        <is>
          <t>Pending</t>
        </is>
      </c>
      <c r="Q51" s="10" t="inlineStr"/>
      <c r="R51" s="14">
        <f>IF(OR(K51="Closed",L51=""),"",MAX(0,TODAY()-L51))</f>
        <v/>
      </c>
      <c r="S51" s="10" t="inlineStr"/>
    </row>
    <row r="52" ht="32" customHeight="1">
      <c r="C52" s="10" t="inlineStr">
        <is>
          <t>RFI-044</t>
        </is>
      </c>
      <c r="D52" s="10" t="inlineStr">
        <is>
          <t>Raw Materials &amp; Supply Network</t>
        </is>
      </c>
      <c r="E52" s="10" t="inlineStr">
        <is>
          <t>Provide capacity, utilization, campaign calendar, purification/lyophilizer bottleneck, reserved capacity and surge plan for the forecast demand.</t>
        </is>
      </c>
      <c r="F52" s="10" t="inlineStr">
        <is>
          <t>High</t>
        </is>
      </c>
      <c r="G52" s="10" t="inlineStr">
        <is>
          <t>Manufacturers</t>
        </is>
      </c>
      <c r="H52" s="10" t="inlineStr"/>
      <c r="I52" s="10" t="inlineStr">
        <is>
          <t>Pre-contract</t>
        </is>
      </c>
      <c r="J52" s="10" t="inlineStr"/>
      <c r="K52" s="10" t="inlineStr">
        <is>
          <t>Not Started</t>
        </is>
      </c>
      <c r="L52" s="16" t="inlineStr"/>
      <c r="M52" s="13" t="n">
        <v>10</v>
      </c>
      <c r="N52" s="17">
        <f>IF(L52="","",L52+M52)</f>
        <v/>
      </c>
      <c r="O52" s="16" t="inlineStr"/>
      <c r="P52" s="10" t="inlineStr">
        <is>
          <t>Pending</t>
        </is>
      </c>
      <c r="Q52" s="10" t="inlineStr"/>
      <c r="R52" s="14">
        <f>IF(OR(K52="Closed",L52=""),"",MAX(0,TODAY()-L52))</f>
        <v/>
      </c>
      <c r="S52" s="10" t="inlineStr"/>
    </row>
    <row r="53" ht="32" customHeight="1">
      <c r="C53" s="10" t="inlineStr">
        <is>
          <t>RFI-045</t>
        </is>
      </c>
      <c r="D53" s="10" t="inlineStr">
        <is>
          <t>Raw Materials &amp; Supply Network</t>
        </is>
      </c>
      <c r="E53" s="10" t="inlineStr">
        <is>
          <t>Provide alternate train/site status, dossier readiness, transfer package, recovery time objective and recent BCP exercise evidence.</t>
        </is>
      </c>
      <c r="F53" s="10" t="inlineStr">
        <is>
          <t>High</t>
        </is>
      </c>
      <c r="G53" s="10" t="inlineStr">
        <is>
          <t>Manufacturers</t>
        </is>
      </c>
      <c r="H53" s="10" t="inlineStr"/>
      <c r="I53" s="10" t="inlineStr">
        <is>
          <t>Pre-contract</t>
        </is>
      </c>
      <c r="J53" s="10" t="inlineStr"/>
      <c r="K53" s="10" t="inlineStr">
        <is>
          <t>Not Started</t>
        </is>
      </c>
      <c r="L53" s="16" t="inlineStr"/>
      <c r="M53" s="13" t="n">
        <v>10</v>
      </c>
      <c r="N53" s="17">
        <f>IF(L53="","",L53+M53)</f>
        <v/>
      </c>
      <c r="O53" s="16" t="inlineStr"/>
      <c r="P53" s="10" t="inlineStr">
        <is>
          <t>Pending</t>
        </is>
      </c>
      <c r="Q53" s="10" t="inlineStr"/>
      <c r="R53" s="14">
        <f>IF(OR(K53="Closed",L53=""),"",MAX(0,TODAY()-L53))</f>
        <v/>
      </c>
      <c r="S53" s="10" t="inlineStr"/>
    </row>
    <row r="54" ht="32" customHeight="1">
      <c r="C54" s="10" t="inlineStr">
        <is>
          <t>RFI-046</t>
        </is>
      </c>
      <c r="D54" s="10" t="inlineStr">
        <is>
          <t>Sterile, Device &amp; Packaging</t>
        </is>
      </c>
      <c r="E54" s="10" t="inlineStr">
        <is>
          <t>Provide contamination-control strategy, facility/flow diagrams, cleanroom grades, isolator/RABS qualification and utility monitoring.</t>
        </is>
      </c>
      <c r="F54" s="10" t="inlineStr">
        <is>
          <t>High</t>
        </is>
      </c>
      <c r="G54" s="10" t="inlineStr">
        <is>
          <t>Sterile Manufacturers</t>
        </is>
      </c>
      <c r="H54" s="10" t="inlineStr"/>
      <c r="I54" s="10" t="inlineStr">
        <is>
          <t>Pre-audit</t>
        </is>
      </c>
      <c r="J54" s="10" t="inlineStr"/>
      <c r="K54" s="10" t="inlineStr">
        <is>
          <t>Not Started</t>
        </is>
      </c>
      <c r="L54" s="16" t="inlineStr"/>
      <c r="M54" s="13" t="n">
        <v>10</v>
      </c>
      <c r="N54" s="17">
        <f>IF(L54="","",L54+M54)</f>
        <v/>
      </c>
      <c r="O54" s="16" t="inlineStr"/>
      <c r="P54" s="10" t="inlineStr">
        <is>
          <t>Pending</t>
        </is>
      </c>
      <c r="Q54" s="10" t="inlineStr"/>
      <c r="R54" s="14">
        <f>IF(OR(K54="Closed",L54=""),"",MAX(0,TODAY()-L54))</f>
        <v/>
      </c>
      <c r="S54" s="10" t="inlineStr"/>
    </row>
    <row r="55" ht="32" customHeight="1">
      <c r="C55" s="10" t="inlineStr">
        <is>
          <t>RFI-047</t>
        </is>
      </c>
      <c r="D55" s="10" t="inlineStr">
        <is>
          <t>Sterile, Device &amp; Packaging</t>
        </is>
      </c>
      <c r="E55" s="10" t="inlineStr">
        <is>
          <t>Provide APS/media-fill matrix and reports, including interventions, shifts, container sizes, lyophilizer loading and failed/aborted runs.</t>
        </is>
      </c>
      <c r="F55" s="10" t="inlineStr">
        <is>
          <t>High</t>
        </is>
      </c>
      <c r="G55" s="10" t="inlineStr">
        <is>
          <t>Sterile Manufacturers</t>
        </is>
      </c>
      <c r="H55" s="10" t="inlineStr"/>
      <c r="I55" s="10" t="inlineStr">
        <is>
          <t>No-Go</t>
        </is>
      </c>
      <c r="J55" s="10" t="inlineStr"/>
      <c r="K55" s="10" t="inlineStr">
        <is>
          <t>Not Started</t>
        </is>
      </c>
      <c r="L55" s="16" t="inlineStr"/>
      <c r="M55" s="13" t="n">
        <v>10</v>
      </c>
      <c r="N55" s="17">
        <f>IF(L55="","",L55+M55)</f>
        <v/>
      </c>
      <c r="O55" s="16" t="inlineStr"/>
      <c r="P55" s="10" t="inlineStr">
        <is>
          <t>Pending</t>
        </is>
      </c>
      <c r="Q55" s="10" t="inlineStr"/>
      <c r="R55" s="14">
        <f>IF(OR(K55="Closed",L55=""),"",MAX(0,TODAY()-L55))</f>
        <v/>
      </c>
      <c r="S55" s="10" t="inlineStr"/>
    </row>
    <row r="56" ht="32" customHeight="1">
      <c r="C56" s="10" t="inlineStr">
        <is>
          <t>RFI-048</t>
        </is>
      </c>
      <c r="D56" s="10" t="inlineStr">
        <is>
          <t>Sterile, Device &amp; Packaging</t>
        </is>
      </c>
      <c r="E56" s="10" t="inlineStr">
        <is>
          <t>Provide environmental-monitoring, sterility, bioburden and endotoxin trends with excursions, investigations and CAPA.</t>
        </is>
      </c>
      <c r="F56" s="10" t="inlineStr">
        <is>
          <t>High</t>
        </is>
      </c>
      <c r="G56" s="10" t="inlineStr">
        <is>
          <t>Sterile Manufacturers</t>
        </is>
      </c>
      <c r="H56" s="10" t="inlineStr"/>
      <c r="I56" s="10" t="inlineStr">
        <is>
          <t>Pre-contract</t>
        </is>
      </c>
      <c r="J56" s="10" t="inlineStr"/>
      <c r="K56" s="10" t="inlineStr">
        <is>
          <t>Not Started</t>
        </is>
      </c>
      <c r="L56" s="16" t="inlineStr"/>
      <c r="M56" s="13" t="n">
        <v>10</v>
      </c>
      <c r="N56" s="17">
        <f>IF(L56="","",L56+M56)</f>
        <v/>
      </c>
      <c r="O56" s="16" t="inlineStr"/>
      <c r="P56" s="10" t="inlineStr">
        <is>
          <t>Pending</t>
        </is>
      </c>
      <c r="Q56" s="10" t="inlineStr"/>
      <c r="R56" s="14">
        <f>IF(OR(K56="Closed",L56=""),"",MAX(0,TODAY()-L56))</f>
        <v/>
      </c>
      <c r="S56" s="10" t="inlineStr"/>
    </row>
    <row r="57" ht="32" customHeight="1">
      <c r="C57" s="10" t="inlineStr">
        <is>
          <t>RFI-049</t>
        </is>
      </c>
      <c r="D57" s="10" t="inlineStr">
        <is>
          <t>Sterile, Device &amp; Packaging</t>
        </is>
      </c>
      <c r="E57" s="10" t="inlineStr">
        <is>
          <t>Provide sterilization/depyrogenation, filter validation, integrity testing and PUPSIT rationale where applicable.</t>
        </is>
      </c>
      <c r="F57" s="10" t="inlineStr">
        <is>
          <t>High</t>
        </is>
      </c>
      <c r="G57" s="10" t="inlineStr">
        <is>
          <t>Sterile Manufacturers</t>
        </is>
      </c>
      <c r="H57" s="10" t="inlineStr"/>
      <c r="I57" s="10" t="inlineStr">
        <is>
          <t>Pre-contract</t>
        </is>
      </c>
      <c r="J57" s="10" t="inlineStr"/>
      <c r="K57" s="10" t="inlineStr">
        <is>
          <t>Not Started</t>
        </is>
      </c>
      <c r="L57" s="16" t="inlineStr"/>
      <c r="M57" s="13" t="n">
        <v>10</v>
      </c>
      <c r="N57" s="17">
        <f>IF(L57="","",L57+M57)</f>
        <v/>
      </c>
      <c r="O57" s="16" t="inlineStr"/>
      <c r="P57" s="10" t="inlineStr">
        <is>
          <t>Pending</t>
        </is>
      </c>
      <c r="Q57" s="10" t="inlineStr"/>
      <c r="R57" s="14">
        <f>IF(OR(K57="Closed",L57=""),"",MAX(0,TODAY()-L57))</f>
        <v/>
      </c>
      <c r="S57" s="10" t="inlineStr"/>
    </row>
    <row r="58" ht="32" customHeight="1">
      <c r="C58" s="10" t="inlineStr">
        <is>
          <t>RFI-050</t>
        </is>
      </c>
      <c r="D58" s="10" t="inlineStr">
        <is>
          <t>Sterile, Device &amp; Packaging</t>
        </is>
      </c>
      <c r="E58" s="10" t="inlineStr">
        <is>
          <t>Provide visible/subvisible particle controls, CCI method/validation through shelf life and transport, and glass/delamination risk.</t>
        </is>
      </c>
      <c r="F58" s="10" t="inlineStr">
        <is>
          <t>High</t>
        </is>
      </c>
      <c r="G58" s="10" t="inlineStr">
        <is>
          <t>Sterile Manufacturers</t>
        </is>
      </c>
      <c r="H58" s="10" t="inlineStr"/>
      <c r="I58" s="10" t="inlineStr">
        <is>
          <t>Pre-contract</t>
        </is>
      </c>
      <c r="J58" s="10" t="inlineStr"/>
      <c r="K58" s="10" t="inlineStr">
        <is>
          <t>Not Started</t>
        </is>
      </c>
      <c r="L58" s="16" t="inlineStr"/>
      <c r="M58" s="13" t="n">
        <v>10</v>
      </c>
      <c r="N58" s="17">
        <f>IF(L58="","",L58+M58)</f>
        <v/>
      </c>
      <c r="O58" s="16" t="inlineStr"/>
      <c r="P58" s="10" t="inlineStr">
        <is>
          <t>Pending</t>
        </is>
      </c>
      <c r="Q58" s="10" t="inlineStr"/>
      <c r="R58" s="14">
        <f>IF(OR(K58="Closed",L58=""),"",MAX(0,TODAY()-L58))</f>
        <v/>
      </c>
      <c r="S58" s="10" t="inlineStr"/>
    </row>
    <row r="59" ht="32" customHeight="1">
      <c r="C59" s="10" t="inlineStr">
        <is>
          <t>RFI-051</t>
        </is>
      </c>
      <c r="D59" s="10" t="inlineStr">
        <is>
          <t>Sterile, Device &amp; Packaging</t>
        </is>
      </c>
      <c r="E59" s="10" t="inlineStr">
        <is>
          <t>Provide E&amp;L studies, toxicological assessments, container/component CoAs, silicone/tungsten and compatibility controls.</t>
        </is>
      </c>
      <c r="F59" s="10" t="inlineStr">
        <is>
          <t>High</t>
        </is>
      </c>
      <c r="G59" s="10" t="inlineStr">
        <is>
          <t>Sterile Manufacturers</t>
        </is>
      </c>
      <c r="H59" s="10" t="inlineStr"/>
      <c r="I59" s="10" t="inlineStr">
        <is>
          <t>Pre-contract</t>
        </is>
      </c>
      <c r="J59" s="10" t="inlineStr"/>
      <c r="K59" s="10" t="inlineStr">
        <is>
          <t>Not Started</t>
        </is>
      </c>
      <c r="L59" s="16" t="inlineStr"/>
      <c r="M59" s="13" t="n">
        <v>10</v>
      </c>
      <c r="N59" s="17">
        <f>IF(L59="","",L59+M59)</f>
        <v/>
      </c>
      <c r="O59" s="16" t="inlineStr"/>
      <c r="P59" s="10" t="inlineStr">
        <is>
          <t>Pending</t>
        </is>
      </c>
      <c r="Q59" s="10" t="inlineStr"/>
      <c r="R59" s="14">
        <f>IF(OR(K59="Closed",L59=""),"",MAX(0,TODAY()-L59))</f>
        <v/>
      </c>
      <c r="S59" s="10" t="inlineStr"/>
    </row>
    <row r="60" ht="32" customHeight="1">
      <c r="C60" s="10" t="inlineStr">
        <is>
          <t>RFI-052</t>
        </is>
      </c>
      <c r="D60" s="10" t="inlineStr">
        <is>
          <t>Sterile, Device &amp; Packaging</t>
        </is>
      </c>
      <c r="E60" s="10" t="inlineStr">
        <is>
          <t>Identify device/component manufacturers, ISO/device certificates, assembly site, dose-accuracy/human-factors evidence and complaint interface.</t>
        </is>
      </c>
      <c r="F60" s="10" t="inlineStr">
        <is>
          <t>High</t>
        </is>
      </c>
      <c r="G60" s="10" t="inlineStr">
        <is>
          <t>Device Chains</t>
        </is>
      </c>
      <c r="H60" s="10" t="inlineStr"/>
      <c r="I60" s="10" t="inlineStr">
        <is>
          <t>No-Go</t>
        </is>
      </c>
      <c r="J60" s="10" t="inlineStr"/>
      <c r="K60" s="10" t="inlineStr">
        <is>
          <t>Not Started</t>
        </is>
      </c>
      <c r="L60" s="16" t="inlineStr"/>
      <c r="M60" s="13" t="n">
        <v>10</v>
      </c>
      <c r="N60" s="17">
        <f>IF(L60="","",L60+M60)</f>
        <v/>
      </c>
      <c r="O60" s="16" t="inlineStr"/>
      <c r="P60" s="10" t="inlineStr">
        <is>
          <t>Pending</t>
        </is>
      </c>
      <c r="Q60" s="10" t="inlineStr"/>
      <c r="R60" s="14">
        <f>IF(OR(K60="Closed",L60=""),"",MAX(0,TODAY()-L60))</f>
        <v/>
      </c>
      <c r="S60" s="10" t="inlineStr"/>
    </row>
    <row r="61" ht="32" customHeight="1">
      <c r="C61" s="10" t="inlineStr">
        <is>
          <t>RFI-053</t>
        </is>
      </c>
      <c r="D61" s="10" t="inlineStr">
        <is>
          <t>Sterile, Device &amp; Packaging</t>
        </is>
      </c>
      <c r="E61" s="10" t="inlineStr">
        <is>
          <t>Provide packaging artwork, tamper evidence, serialization, label-control, reconciliation and South Africa configuration responsibilities.</t>
        </is>
      </c>
      <c r="F61" s="10" t="inlineStr">
        <is>
          <t>Medium</t>
        </is>
      </c>
      <c r="G61" s="10" t="inlineStr">
        <is>
          <t>Manufacturers</t>
        </is>
      </c>
      <c r="H61" s="10" t="inlineStr"/>
      <c r="I61" s="10" t="inlineStr">
        <is>
          <t>Pre-shipment</t>
        </is>
      </c>
      <c r="J61" s="10" t="inlineStr"/>
      <c r="K61" s="10" t="inlineStr">
        <is>
          <t>Not Started</t>
        </is>
      </c>
      <c r="L61" s="16" t="inlineStr"/>
      <c r="M61" s="13" t="n">
        <v>10</v>
      </c>
      <c r="N61" s="17">
        <f>IF(L61="","",L61+M61)</f>
        <v/>
      </c>
      <c r="O61" s="16" t="inlineStr"/>
      <c r="P61" s="10" t="inlineStr">
        <is>
          <t>Pending</t>
        </is>
      </c>
      <c r="Q61" s="10" t="inlineStr"/>
      <c r="R61" s="14">
        <f>IF(OR(K61="Closed",L61=""),"",MAX(0,TODAY()-L61))</f>
        <v/>
      </c>
      <c r="S61" s="10" t="inlineStr"/>
    </row>
    <row r="62" ht="32" customHeight="1">
      <c r="C62" s="10" t="inlineStr">
        <is>
          <t>RFI-054</t>
        </is>
      </c>
      <c r="D62" s="10" t="inlineStr">
        <is>
          <t>Stability, Cold Chain &amp; Logistics</t>
        </is>
      </c>
      <c r="E62" s="10" t="inlineStr">
        <is>
          <t>Provide ICH long-term, accelerated, stress, photostability and forced-degradation data for at least three representative batches.</t>
        </is>
      </c>
      <c r="F62" s="10" t="inlineStr">
        <is>
          <t>High</t>
        </is>
      </c>
      <c r="G62" s="10" t="inlineStr">
        <is>
          <t>Manufacturers</t>
        </is>
      </c>
      <c r="H62" s="10" t="inlineStr"/>
      <c r="I62" s="10" t="inlineStr">
        <is>
          <t>Pre-contract</t>
        </is>
      </c>
      <c r="J62" s="10" t="inlineStr"/>
      <c r="K62" s="10" t="inlineStr">
        <is>
          <t>Not Started</t>
        </is>
      </c>
      <c r="L62" s="16" t="inlineStr"/>
      <c r="M62" s="13" t="n">
        <v>10</v>
      </c>
      <c r="N62" s="17">
        <f>IF(L62="","",L62+M62)</f>
        <v/>
      </c>
      <c r="O62" s="16" t="inlineStr"/>
      <c r="P62" s="10" t="inlineStr">
        <is>
          <t>Pending</t>
        </is>
      </c>
      <c r="Q62" s="10" t="inlineStr"/>
      <c r="R62" s="14">
        <f>IF(OR(K62="Closed",L62=""),"",MAX(0,TODAY()-L62))</f>
        <v/>
      </c>
      <c r="S62" s="10" t="inlineStr"/>
    </row>
    <row r="63" ht="32" customHeight="1">
      <c r="C63" s="10" t="inlineStr">
        <is>
          <t>RFI-055</t>
        </is>
      </c>
      <c r="D63" s="10" t="inlineStr">
        <is>
          <t>Stability, Cold Chain &amp; Logistics</t>
        </is>
      </c>
      <c r="E63" s="10" t="inlineStr">
        <is>
          <t>Provide bulk hold, freeze/thaw, in-use, reconstitution and shipping-excursion studies applicable to the proposed presentation.</t>
        </is>
      </c>
      <c r="F63" s="10" t="inlineStr">
        <is>
          <t>High</t>
        </is>
      </c>
      <c r="G63" s="10" t="inlineStr">
        <is>
          <t>Manufacturers</t>
        </is>
      </c>
      <c r="H63" s="10" t="inlineStr"/>
      <c r="I63" s="10" t="inlineStr">
        <is>
          <t>Pre-contract</t>
        </is>
      </c>
      <c r="J63" s="10" t="inlineStr"/>
      <c r="K63" s="10" t="inlineStr">
        <is>
          <t>Not Started</t>
        </is>
      </c>
      <c r="L63" s="16" t="inlineStr"/>
      <c r="M63" s="13" t="n">
        <v>10</v>
      </c>
      <c r="N63" s="17">
        <f>IF(L63="","",L63+M63)</f>
        <v/>
      </c>
      <c r="O63" s="16" t="inlineStr"/>
      <c r="P63" s="10" t="inlineStr">
        <is>
          <t>Pending</t>
        </is>
      </c>
      <c r="Q63" s="10" t="inlineStr"/>
      <c r="R63" s="14">
        <f>IF(OR(K63="Closed",L63=""),"",MAX(0,TODAY()-L63))</f>
        <v/>
      </c>
      <c r="S63" s="10" t="inlineStr"/>
    </row>
    <row r="64" ht="32" customHeight="1">
      <c r="C64" s="10" t="inlineStr">
        <is>
          <t>RFI-056</t>
        </is>
      </c>
      <c r="D64" s="10" t="inlineStr">
        <is>
          <t>Stability, Cold Chain &amp; Logistics</t>
        </is>
      </c>
      <c r="E64" s="10" t="inlineStr">
        <is>
          <t>Define approved storage, transport range, excursion limits, decision tree, authorized disposition roles and stability data supporting each limit.</t>
        </is>
      </c>
      <c r="F64" s="10" t="inlineStr">
        <is>
          <t>High</t>
        </is>
      </c>
      <c r="G64" s="10" t="inlineStr">
        <is>
          <t>Manufacturers</t>
        </is>
      </c>
      <c r="H64" s="10" t="inlineStr"/>
      <c r="I64" s="10" t="inlineStr">
        <is>
          <t>Pre-shipment</t>
        </is>
      </c>
      <c r="J64" s="10" t="inlineStr"/>
      <c r="K64" s="10" t="inlineStr">
        <is>
          <t>Not Started</t>
        </is>
      </c>
      <c r="L64" s="16" t="inlineStr"/>
      <c r="M64" s="13" t="n">
        <v>10</v>
      </c>
      <c r="N64" s="17">
        <f>IF(L64="","",L64+M64)</f>
        <v/>
      </c>
      <c r="O64" s="16" t="inlineStr"/>
      <c r="P64" s="10" t="inlineStr">
        <is>
          <t>Pending</t>
        </is>
      </c>
      <c r="Q64" s="10" t="inlineStr"/>
      <c r="R64" s="14">
        <f>IF(OR(K64="Closed",L64=""),"",MAX(0,TODAY()-L64))</f>
        <v/>
      </c>
      <c r="S64" s="10" t="inlineStr"/>
    </row>
    <row r="65" ht="32" customHeight="1">
      <c r="C65" s="10" t="inlineStr">
        <is>
          <t>RFI-057</t>
        </is>
      </c>
      <c r="D65" s="10" t="inlineStr">
        <is>
          <t>Stability, Cold Chain &amp; Logistics</t>
        </is>
      </c>
      <c r="E65" s="10" t="inlineStr">
        <is>
          <t>Provide packaging qualification reports, thermal profiles, seasonal challenge, logger placement and failure-mode assessment.</t>
        </is>
      </c>
      <c r="F65" s="10" t="inlineStr">
        <is>
          <t>High</t>
        </is>
      </c>
      <c r="G65" s="10" t="inlineStr">
        <is>
          <t>Manufacturers</t>
        </is>
      </c>
      <c r="H65" s="10" t="inlineStr"/>
      <c r="I65" s="10" t="inlineStr">
        <is>
          <t>Pre-shipment</t>
        </is>
      </c>
      <c r="J65" s="10" t="inlineStr"/>
      <c r="K65" s="10" t="inlineStr">
        <is>
          <t>Not Started</t>
        </is>
      </c>
      <c r="L65" s="16" t="inlineStr"/>
      <c r="M65" s="13" t="n">
        <v>10</v>
      </c>
      <c r="N65" s="17">
        <f>IF(L65="","",L65+M65)</f>
        <v/>
      </c>
      <c r="O65" s="16" t="inlineStr"/>
      <c r="P65" s="10" t="inlineStr">
        <is>
          <t>Pending</t>
        </is>
      </c>
      <c r="Q65" s="10" t="inlineStr"/>
      <c r="R65" s="14">
        <f>IF(OR(K65="Closed",L65=""),"",MAX(0,TODAY()-L65))</f>
        <v/>
      </c>
      <c r="S65" s="10" t="inlineStr"/>
    </row>
    <row r="66" ht="32" customHeight="1">
      <c r="C66" s="10" t="inlineStr">
        <is>
          <t>RFI-058</t>
        </is>
      </c>
      <c r="D66" s="10" t="inlineStr">
        <is>
          <t>Stability, Cold Chain &amp; Logistics</t>
        </is>
      </c>
      <c r="E66" s="10" t="inlineStr">
        <is>
          <t>Design and execute a qualified Asia-to-South-Africa lane including customs-delay simulation, backup routing and receiving qualification.</t>
        </is>
      </c>
      <c r="F66" s="10" t="inlineStr">
        <is>
          <t>High</t>
        </is>
      </c>
      <c r="G66" s="10" t="inlineStr">
        <is>
          <t>Manufacturers</t>
        </is>
      </c>
      <c r="H66" s="10" t="inlineStr"/>
      <c r="I66" s="10" t="inlineStr">
        <is>
          <t>Pre-shipment</t>
        </is>
      </c>
      <c r="J66" s="10" t="inlineStr"/>
      <c r="K66" s="10" t="inlineStr">
        <is>
          <t>Not Started</t>
        </is>
      </c>
      <c r="L66" s="16" t="inlineStr"/>
      <c r="M66" s="13" t="n">
        <v>10</v>
      </c>
      <c r="N66" s="17">
        <f>IF(L66="","",L66+M66)</f>
        <v/>
      </c>
      <c r="O66" s="16" t="inlineStr"/>
      <c r="P66" s="10" t="inlineStr">
        <is>
          <t>Pending</t>
        </is>
      </c>
      <c r="Q66" s="10" t="inlineStr"/>
      <c r="R66" s="14">
        <f>IF(OR(K66="Closed",L66=""),"",MAX(0,TODAY()-L66))</f>
        <v/>
      </c>
      <c r="S66" s="10" t="inlineStr"/>
    </row>
    <row r="67" ht="32" customHeight="1">
      <c r="C67" s="10" t="inlineStr">
        <is>
          <t>RFI-059</t>
        </is>
      </c>
      <c r="D67" s="10" t="inlineStr">
        <is>
          <t>Stability, Cold Chain &amp; Logistics</t>
        </is>
      </c>
      <c r="E67" s="10" t="inlineStr">
        <is>
          <t>Provide carrier, freight forwarder, airline, customs broker, cold-store and last-mile qualification/audit records and quality agreements.</t>
        </is>
      </c>
      <c r="F67" s="10" t="inlineStr">
        <is>
          <t>High</t>
        </is>
      </c>
      <c r="G67" s="10" t="inlineStr">
        <is>
          <t>Manufacturers</t>
        </is>
      </c>
      <c r="H67" s="10" t="inlineStr"/>
      <c r="I67" s="10" t="inlineStr">
        <is>
          <t>Pre-shipment</t>
        </is>
      </c>
      <c r="J67" s="10" t="inlineStr"/>
      <c r="K67" s="10" t="inlineStr">
        <is>
          <t>Not Started</t>
        </is>
      </c>
      <c r="L67" s="16" t="inlineStr"/>
      <c r="M67" s="13" t="n">
        <v>10</v>
      </c>
      <c r="N67" s="17">
        <f>IF(L67="","",L67+M67)</f>
        <v/>
      </c>
      <c r="O67" s="16" t="inlineStr"/>
      <c r="P67" s="10" t="inlineStr">
        <is>
          <t>Pending</t>
        </is>
      </c>
      <c r="Q67" s="10" t="inlineStr"/>
      <c r="R67" s="14">
        <f>IF(OR(K67="Closed",L67=""),"",MAX(0,TODAY()-L67))</f>
        <v/>
      </c>
      <c r="S67" s="10" t="inlineStr"/>
    </row>
    <row r="68" ht="32" customHeight="1">
      <c r="C68" s="10" t="inlineStr">
        <is>
          <t>RFI-060</t>
        </is>
      </c>
      <c r="D68" s="10" t="inlineStr">
        <is>
          <t>Stability, Cold Chain &amp; Logistics</t>
        </is>
      </c>
      <c r="E68" s="10" t="inlineStr">
        <is>
          <t>Define tamper-evident seals, chain of custody, shipment IDs, calibrated logger controls, receipt checks and discrepancy escalation.</t>
        </is>
      </c>
      <c r="F68" s="10" t="inlineStr">
        <is>
          <t>High</t>
        </is>
      </c>
      <c r="G68" s="10" t="inlineStr">
        <is>
          <t>Manufacturers &amp; Laboratories</t>
        </is>
      </c>
      <c r="H68" s="10" t="inlineStr"/>
      <c r="I68" s="10" t="inlineStr">
        <is>
          <t>Pre-shipment</t>
        </is>
      </c>
      <c r="J68" s="10" t="inlineStr"/>
      <c r="K68" s="10" t="inlineStr">
        <is>
          <t>Not Started</t>
        </is>
      </c>
      <c r="L68" s="16" t="inlineStr"/>
      <c r="M68" s="13" t="n">
        <v>10</v>
      </c>
      <c r="N68" s="17">
        <f>IF(L68="","",L68+M68)</f>
        <v/>
      </c>
      <c r="O68" s="16" t="inlineStr"/>
      <c r="P68" s="10" t="inlineStr">
        <is>
          <t>Pending</t>
        </is>
      </c>
      <c r="Q68" s="10" t="inlineStr"/>
      <c r="R68" s="14">
        <f>IF(OR(K68="Closed",L68=""),"",MAX(0,TODAY()-L68))</f>
        <v/>
      </c>
      <c r="S68" s="10" t="inlineStr"/>
    </row>
    <row r="69" ht="32" customHeight="1">
      <c r="C69" s="10" t="inlineStr">
        <is>
          <t>RFI-061</t>
        </is>
      </c>
      <c r="D69" s="10" t="inlineStr">
        <is>
          <t>Stability, Cold Chain &amp; Logistics</t>
        </is>
      </c>
      <c r="E69" s="10" t="inlineStr">
        <is>
          <t>Provide recall/returns/quarantine/destruction responsibilities and traceability exercise results for the proposed chain.</t>
        </is>
      </c>
      <c r="F69" s="10" t="inlineStr">
        <is>
          <t>High</t>
        </is>
      </c>
      <c r="G69" s="10" t="inlineStr">
        <is>
          <t>Manufacturers</t>
        </is>
      </c>
      <c r="H69" s="10" t="inlineStr"/>
      <c r="I69" s="10" t="inlineStr">
        <is>
          <t>Pre-shipment</t>
        </is>
      </c>
      <c r="J69" s="10" t="inlineStr"/>
      <c r="K69" s="10" t="inlineStr">
        <is>
          <t>Not Started</t>
        </is>
      </c>
      <c r="L69" s="16" t="inlineStr"/>
      <c r="M69" s="13" t="n">
        <v>10</v>
      </c>
      <c r="N69" s="17">
        <f>IF(L69="","",L69+M69)</f>
        <v/>
      </c>
      <c r="O69" s="16" t="inlineStr"/>
      <c r="P69" s="10" t="inlineStr">
        <is>
          <t>Pending</t>
        </is>
      </c>
      <c r="Q69" s="10" t="inlineStr"/>
      <c r="R69" s="14">
        <f>IF(OR(K69="Closed",L69=""),"",MAX(0,TODAY()-L69))</f>
        <v/>
      </c>
      <c r="S69" s="10" t="inlineStr"/>
    </row>
    <row r="70" ht="32" customHeight="1">
      <c r="C70" s="10" t="inlineStr">
        <is>
          <t>RFI-062</t>
        </is>
      </c>
      <c r="D70" s="10" t="inlineStr">
        <is>
          <t>South Africa &amp; Commercial</t>
        </is>
      </c>
      <c r="E70" s="10" t="inlineStr">
        <is>
          <t>Define proposed South African applicant/registration holder, importer, wholesaler/distributor and responsible quality/pharmacovigilance roles.</t>
        </is>
      </c>
      <c r="F70" s="10" t="inlineStr">
        <is>
          <t>High</t>
        </is>
      </c>
      <c r="G70" s="10" t="inlineStr">
        <is>
          <t>Manufacturers</t>
        </is>
      </c>
      <c r="H70" s="10" t="inlineStr"/>
      <c r="I70" s="10" t="inlineStr">
        <is>
          <t>Pre-contract</t>
        </is>
      </c>
      <c r="J70" s="10" t="inlineStr"/>
      <c r="K70" s="10" t="inlineStr">
        <is>
          <t>Not Started</t>
        </is>
      </c>
      <c r="L70" s="16" t="inlineStr"/>
      <c r="M70" s="13" t="n">
        <v>10</v>
      </c>
      <c r="N70" s="17">
        <f>IF(L70="","",L70+M70)</f>
        <v/>
      </c>
      <c r="O70" s="16" t="inlineStr"/>
      <c r="P70" s="10" t="inlineStr">
        <is>
          <t>Pending</t>
        </is>
      </c>
      <c r="Q70" s="10" t="inlineStr"/>
      <c r="R70" s="14">
        <f>IF(OR(K70="Closed",L70=""),"",MAX(0,TODAY()-L70))</f>
        <v/>
      </c>
      <c r="S70" s="10" t="inlineStr"/>
    </row>
    <row r="71" ht="32" customHeight="1">
      <c r="C71" s="10" t="inlineStr">
        <is>
          <t>RFI-063</t>
        </is>
      </c>
      <c r="D71" s="10" t="inlineStr">
        <is>
          <t>South Africa &amp; Commercial</t>
        </is>
      </c>
      <c r="E71" s="10" t="inlineStr">
        <is>
          <t>Provide CTD/ASMF/CEP support plan, letters of access, deficiency-response support and inspection commitments.</t>
        </is>
      </c>
      <c r="F71" s="10" t="inlineStr">
        <is>
          <t>High</t>
        </is>
      </c>
      <c r="G71" s="10" t="inlineStr">
        <is>
          <t>Manufacturers</t>
        </is>
      </c>
      <c r="H71" s="10" t="inlineStr"/>
      <c r="I71" s="10" t="inlineStr">
        <is>
          <t>Pre-contract</t>
        </is>
      </c>
      <c r="J71" s="10" t="inlineStr"/>
      <c r="K71" s="10" t="inlineStr">
        <is>
          <t>Not Started</t>
        </is>
      </c>
      <c r="L71" s="16" t="inlineStr"/>
      <c r="M71" s="13" t="n">
        <v>10</v>
      </c>
      <c r="N71" s="17">
        <f>IF(L71="","",L71+M71)</f>
        <v/>
      </c>
      <c r="O71" s="16" t="inlineStr"/>
      <c r="P71" s="10" t="inlineStr">
        <is>
          <t>Pending</t>
        </is>
      </c>
      <c r="Q71" s="10" t="inlineStr"/>
      <c r="R71" s="14">
        <f>IF(OR(K71="Closed",L71=""),"",MAX(0,TODAY()-L71))</f>
        <v/>
      </c>
      <c r="S71" s="10" t="inlineStr"/>
    </row>
    <row r="72" ht="32" customHeight="1">
      <c r="C72" s="10" t="inlineStr">
        <is>
          <t>RFI-064</t>
        </is>
      </c>
      <c r="D72" s="10" t="inlineStr">
        <is>
          <t>South Africa &amp; Commercial</t>
        </is>
      </c>
      <c r="E72" s="10" t="inlineStr">
        <is>
          <t>Confirm local testing/release, GDP storage, complaints, recalls, PV and change-notification responsibilities in the registered arrangement.</t>
        </is>
      </c>
      <c r="F72" s="10" t="inlineStr">
        <is>
          <t>High</t>
        </is>
      </c>
      <c r="G72" s="10" t="inlineStr">
        <is>
          <t>Manufacturers</t>
        </is>
      </c>
      <c r="H72" s="10" t="inlineStr"/>
      <c r="I72" s="10" t="inlineStr">
        <is>
          <t>Pre-contract</t>
        </is>
      </c>
      <c r="J72" s="10" t="inlineStr"/>
      <c r="K72" s="10" t="inlineStr">
        <is>
          <t>Not Started</t>
        </is>
      </c>
      <c r="L72" s="16" t="inlineStr"/>
      <c r="M72" s="13" t="n">
        <v>10</v>
      </c>
      <c r="N72" s="17">
        <f>IF(L72="","",L72+M72)</f>
        <v/>
      </c>
      <c r="O72" s="16" t="inlineStr"/>
      <c r="P72" s="10" t="inlineStr">
        <is>
          <t>Pending</t>
        </is>
      </c>
      <c r="Q72" s="10" t="inlineStr"/>
      <c r="R72" s="14">
        <f>IF(OR(K72="Closed",L72=""),"",MAX(0,TODAY()-L72))</f>
        <v/>
      </c>
      <c r="S72" s="10" t="inlineStr"/>
    </row>
    <row r="73" ht="32" customHeight="1">
      <c r="C73" s="10" t="inlineStr">
        <is>
          <t>RFI-065</t>
        </is>
      </c>
      <c r="D73" s="10" t="inlineStr">
        <is>
          <t>South Africa &amp; Commercial</t>
        </is>
      </c>
      <c r="E73" s="10" t="inlineStr">
        <is>
          <t>Provide HS/tariff classification proposal, import permits/licences, Incoterms, insurance, customs documents and port/airport route.</t>
        </is>
      </c>
      <c r="F73" s="10" t="inlineStr">
        <is>
          <t>Medium</t>
        </is>
      </c>
      <c r="G73" s="10" t="inlineStr">
        <is>
          <t>Manufacturers</t>
        </is>
      </c>
      <c r="H73" s="10" t="inlineStr"/>
      <c r="I73" s="10" t="inlineStr">
        <is>
          <t>Pre-shipment</t>
        </is>
      </c>
      <c r="J73" s="10" t="inlineStr"/>
      <c r="K73" s="10" t="inlineStr">
        <is>
          <t>Not Started</t>
        </is>
      </c>
      <c r="L73" s="16" t="inlineStr"/>
      <c r="M73" s="13" t="n">
        <v>10</v>
      </c>
      <c r="N73" s="17">
        <f>IF(L73="","",L73+M73)</f>
        <v/>
      </c>
      <c r="O73" s="16" t="inlineStr"/>
      <c r="P73" s="10" t="inlineStr">
        <is>
          <t>Pending</t>
        </is>
      </c>
      <c r="Q73" s="10" t="inlineStr"/>
      <c r="R73" s="14">
        <f>IF(OR(K73="Closed",L73=""),"",MAX(0,TODAY()-L73))</f>
        <v/>
      </c>
      <c r="S73" s="10" t="inlineStr"/>
    </row>
    <row r="74" ht="32" customHeight="1">
      <c r="C74" s="10" t="inlineStr">
        <is>
          <t>RFI-066</t>
        </is>
      </c>
      <c r="D74" s="10" t="inlineStr">
        <is>
          <t>South Africa &amp; Commercial</t>
        </is>
      </c>
      <c r="E74" s="10" t="inlineStr">
        <is>
          <t>Provide pricing architecture, MOQ, lead time, capacity reservation, payment currency, price-adjustment formula and shortage-allocation terms.</t>
        </is>
      </c>
      <c r="F74" s="10" t="inlineStr">
        <is>
          <t>Medium</t>
        </is>
      </c>
      <c r="G74" s="10" t="inlineStr">
        <is>
          <t>Manufacturers</t>
        </is>
      </c>
      <c r="H74" s="10" t="inlineStr"/>
      <c r="I74" s="10" t="inlineStr">
        <is>
          <t>Pre-contract</t>
        </is>
      </c>
      <c r="J74" s="10" t="inlineStr"/>
      <c r="K74" s="10" t="inlineStr">
        <is>
          <t>Not Started</t>
        </is>
      </c>
      <c r="L74" s="16" t="inlineStr"/>
      <c r="M74" s="13" t="n">
        <v>10</v>
      </c>
      <c r="N74" s="17">
        <f>IF(L74="","",L74+M74)</f>
        <v/>
      </c>
      <c r="O74" s="16" t="inlineStr"/>
      <c r="P74" s="10" t="inlineStr">
        <is>
          <t>Pending</t>
        </is>
      </c>
      <c r="Q74" s="10" t="inlineStr"/>
      <c r="R74" s="14">
        <f>IF(OR(K74="Closed",L74=""),"",MAX(0,TODAY()-L74))</f>
        <v/>
      </c>
      <c r="S74" s="10" t="inlineStr"/>
    </row>
    <row r="75" ht="32" customHeight="1">
      <c r="C75" s="10" t="inlineStr">
        <is>
          <t>RFI-067</t>
        </is>
      </c>
      <c r="D75" s="10" t="inlineStr">
        <is>
          <t>South Africa &amp; Commercial</t>
        </is>
      </c>
      <c r="E75" s="10" t="inlineStr">
        <is>
          <t>Accept audit rights, regulator access, source/subcontractor disclosure, prior change approval, recall support and full raw-data access.</t>
        </is>
      </c>
      <c r="F75" s="10" t="inlineStr">
        <is>
          <t>High</t>
        </is>
      </c>
      <c r="G75" s="10" t="inlineStr">
        <is>
          <t>Manufacturers &amp; Laboratories</t>
        </is>
      </c>
      <c r="H75" s="10" t="inlineStr"/>
      <c r="I75" s="10" t="inlineStr">
        <is>
          <t>No-Go</t>
        </is>
      </c>
      <c r="J75" s="10" t="inlineStr"/>
      <c r="K75" s="10" t="inlineStr">
        <is>
          <t>Not Started</t>
        </is>
      </c>
      <c r="L75" s="16" t="inlineStr"/>
      <c r="M75" s="13" t="n">
        <v>10</v>
      </c>
      <c r="N75" s="17">
        <f>IF(L75="","",L75+M75)</f>
        <v/>
      </c>
      <c r="O75" s="16" t="inlineStr"/>
      <c r="P75" s="10" t="inlineStr">
        <is>
          <t>Pending</t>
        </is>
      </c>
      <c r="Q75" s="10" t="inlineStr"/>
      <c r="R75" s="14">
        <f>IF(OR(K75="Closed",L75=""),"",MAX(0,TODAY()-L75))</f>
        <v/>
      </c>
      <c r="S75" s="10" t="inlineStr"/>
    </row>
    <row r="76" ht="32" customHeight="1">
      <c r="C76" s="10" t="inlineStr">
        <is>
          <t>RFI-068</t>
        </is>
      </c>
      <c r="D76" s="10" t="inlineStr">
        <is>
          <t>South Africa &amp; Commercial</t>
        </is>
      </c>
      <c r="E76" s="10" t="inlineStr">
        <is>
          <t>Accept technology-transfer/exit assistance, alternate-site milestones, inventory floors, business-continuity obligations and termination rights.</t>
        </is>
      </c>
      <c r="F76" s="10" t="inlineStr">
        <is>
          <t>High</t>
        </is>
      </c>
      <c r="G76" s="10" t="inlineStr">
        <is>
          <t>Manufacturers</t>
        </is>
      </c>
      <c r="H76" s="10" t="inlineStr"/>
      <c r="I76" s="10" t="inlineStr">
        <is>
          <t>Pre-contract</t>
        </is>
      </c>
      <c r="J76" s="10" t="inlineStr"/>
      <c r="K76" s="10" t="inlineStr">
        <is>
          <t>Not Started</t>
        </is>
      </c>
      <c r="L76" s="16" t="inlineStr"/>
      <c r="M76" s="13" t="n">
        <v>10</v>
      </c>
      <c r="N76" s="17">
        <f>IF(L76="","",L76+M76)</f>
        <v/>
      </c>
      <c r="O76" s="16" t="inlineStr"/>
      <c r="P76" s="10" t="inlineStr">
        <is>
          <t>Pending</t>
        </is>
      </c>
      <c r="Q76" s="10" t="inlineStr"/>
      <c r="R76" s="14">
        <f>IF(OR(K76="Closed",L76=""),"",MAX(0,TODAY()-L76))</f>
        <v/>
      </c>
      <c r="S76" s="10" t="inlineStr"/>
    </row>
    <row r="77" ht="32" customHeight="1">
      <c r="C77" s="10" t="inlineStr">
        <is>
          <t>RFI-069</t>
        </is>
      </c>
      <c r="D77" s="10" t="inlineStr">
        <is>
          <t>Laboratory Qualification</t>
        </is>
      </c>
      <c r="E77" s="10" t="inlineStr">
        <is>
          <t>Provide exact legal entity, site, controlled rooms/floors and current certificate with full method scope annex.</t>
        </is>
      </c>
      <c r="F77" s="10" t="inlineStr">
        <is>
          <t>High</t>
        </is>
      </c>
      <c r="G77" s="10" t="inlineStr">
        <is>
          <t>Laboratories</t>
        </is>
      </c>
      <c r="H77" s="10" t="inlineStr"/>
      <c r="I77" s="10" t="inlineStr">
        <is>
          <t>No-Go</t>
        </is>
      </c>
      <c r="J77" s="10" t="inlineStr"/>
      <c r="K77" s="10" t="inlineStr">
        <is>
          <t>Not Started</t>
        </is>
      </c>
      <c r="L77" s="16" t="inlineStr"/>
      <c r="M77" s="13" t="n">
        <v>10</v>
      </c>
      <c r="N77" s="17">
        <f>IF(L77="","",L77+M77)</f>
        <v/>
      </c>
      <c r="O77" s="16" t="inlineStr"/>
      <c r="P77" s="10" t="inlineStr">
        <is>
          <t>Pending</t>
        </is>
      </c>
      <c r="Q77" s="10" t="inlineStr"/>
      <c r="R77" s="14">
        <f>IF(OR(K77="Closed",L77=""),"",MAX(0,TODAY()-L77))</f>
        <v/>
      </c>
      <c r="S77" s="10" t="inlineStr"/>
    </row>
    <row r="78" ht="32" customHeight="1">
      <c r="C78" s="10" t="inlineStr">
        <is>
          <t>RFI-070</t>
        </is>
      </c>
      <c r="D78" s="10" t="inlineStr">
        <is>
          <t>Laboratory Qualification</t>
        </is>
      </c>
      <c r="E78" s="10" t="inlineStr">
        <is>
          <t>Provide instrument inventory, model, software, qualification status, maintenance, calibration and redundancy for each proposed method.</t>
        </is>
      </c>
      <c r="F78" s="10" t="inlineStr">
        <is>
          <t>High</t>
        </is>
      </c>
      <c r="G78" s="10" t="inlineStr">
        <is>
          <t>Laboratories</t>
        </is>
      </c>
      <c r="H78" s="10" t="inlineStr"/>
      <c r="I78" s="10" t="inlineStr">
        <is>
          <t>Pre-audit</t>
        </is>
      </c>
      <c r="J78" s="10" t="inlineStr"/>
      <c r="K78" s="10" t="inlineStr">
        <is>
          <t>Not Started</t>
        </is>
      </c>
      <c r="L78" s="16" t="inlineStr"/>
      <c r="M78" s="13" t="n">
        <v>10</v>
      </c>
      <c r="N78" s="17">
        <f>IF(L78="","",L78+M78)</f>
        <v/>
      </c>
      <c r="O78" s="16" t="inlineStr"/>
      <c r="P78" s="10" t="inlineStr">
        <is>
          <t>Pending</t>
        </is>
      </c>
      <c r="Q78" s="10" t="inlineStr"/>
      <c r="R78" s="14">
        <f>IF(OR(K78="Closed",L78=""),"",MAX(0,TODAY()-L78))</f>
        <v/>
      </c>
      <c r="S78" s="10" t="inlineStr"/>
    </row>
    <row r="79" ht="32" customHeight="1">
      <c r="C79" s="10" t="inlineStr">
        <is>
          <t>RFI-071</t>
        </is>
      </c>
      <c r="D79" s="10" t="inlineStr">
        <is>
          <t>Laboratory Qualification</t>
        </is>
      </c>
      <c r="E79" s="10" t="inlineStr">
        <is>
          <t>Provide analyst qualifications, method-specific experience and training records for peptide testing.</t>
        </is>
      </c>
      <c r="F79" s="10" t="inlineStr">
        <is>
          <t>Medium</t>
        </is>
      </c>
      <c r="G79" s="10" t="inlineStr">
        <is>
          <t>Laboratories</t>
        </is>
      </c>
      <c r="H79" s="10" t="inlineStr"/>
      <c r="I79" s="10" t="inlineStr">
        <is>
          <t>Pre-audit</t>
        </is>
      </c>
      <c r="J79" s="10" t="inlineStr"/>
      <c r="K79" s="10" t="inlineStr">
        <is>
          <t>Not Started</t>
        </is>
      </c>
      <c r="L79" s="16" t="inlineStr"/>
      <c r="M79" s="13" t="n">
        <v>10</v>
      </c>
      <c r="N79" s="17">
        <f>IF(L79="","",L79+M79)</f>
        <v/>
      </c>
      <c r="O79" s="16" t="inlineStr"/>
      <c r="P79" s="10" t="inlineStr">
        <is>
          <t>Pending</t>
        </is>
      </c>
      <c r="Q79" s="10" t="inlineStr"/>
      <c r="R79" s="14">
        <f>IF(OR(K79="Closed",L79=""),"",MAX(0,TODAY()-L79))</f>
        <v/>
      </c>
      <c r="S79" s="10" t="inlineStr"/>
    </row>
    <row r="80" ht="32" customHeight="1">
      <c r="C80" s="10" t="inlineStr">
        <is>
          <t>RFI-072</t>
        </is>
      </c>
      <c r="D80" s="10" t="inlineStr">
        <is>
          <t>Laboratory Qualification</t>
        </is>
      </c>
      <c r="E80" s="10" t="inlineStr">
        <is>
          <t>Provide sample receipt, seal/temperature/weight checks, LIMS traceability, aliquot controls, storage, retains and destruction SOPs.</t>
        </is>
      </c>
      <c r="F80" s="10" t="inlineStr">
        <is>
          <t>High</t>
        </is>
      </c>
      <c r="G80" s="10" t="inlineStr">
        <is>
          <t>Laboratories</t>
        </is>
      </c>
      <c r="H80" s="10" t="inlineStr"/>
      <c r="I80" s="10" t="inlineStr">
        <is>
          <t>Pre-audit</t>
        </is>
      </c>
      <c r="J80" s="10" t="inlineStr"/>
      <c r="K80" s="10" t="inlineStr">
        <is>
          <t>Not Started</t>
        </is>
      </c>
      <c r="L80" s="16" t="inlineStr"/>
      <c r="M80" s="13" t="n">
        <v>10</v>
      </c>
      <c r="N80" s="17">
        <f>IF(L80="","",L80+M80)</f>
        <v/>
      </c>
      <c r="O80" s="16" t="inlineStr"/>
      <c r="P80" s="10" t="inlineStr">
        <is>
          <t>Pending</t>
        </is>
      </c>
      <c r="Q80" s="10" t="inlineStr"/>
      <c r="R80" s="14">
        <f>IF(OR(K80="Closed",L80=""),"",MAX(0,TODAY()-L80))</f>
        <v/>
      </c>
      <c r="S80" s="10" t="inlineStr"/>
    </row>
    <row r="81" ht="32" customHeight="1">
      <c r="C81" s="10" t="inlineStr">
        <is>
          <t>RFI-073</t>
        </is>
      </c>
      <c r="D81" s="10" t="inlineStr">
        <is>
          <t>Laboratory Qualification</t>
        </is>
      </c>
      <c r="E81" s="10" t="inlineStr">
        <is>
          <t>Provide subcontractor list and agree no site/method transfer without prior written approval and requalification.</t>
        </is>
      </c>
      <c r="F81" s="10" t="inlineStr">
        <is>
          <t>High</t>
        </is>
      </c>
      <c r="G81" s="10" t="inlineStr">
        <is>
          <t>Laboratories</t>
        </is>
      </c>
      <c r="H81" s="10" t="inlineStr"/>
      <c r="I81" s="10" t="inlineStr">
        <is>
          <t>No-Go</t>
        </is>
      </c>
      <c r="J81" s="10" t="inlineStr"/>
      <c r="K81" s="10" t="inlineStr">
        <is>
          <t>Not Started</t>
        </is>
      </c>
      <c r="L81" s="16" t="inlineStr"/>
      <c r="M81" s="13" t="n">
        <v>10</v>
      </c>
      <c r="N81" s="17">
        <f>IF(L81="","",L81+M81)</f>
        <v/>
      </c>
      <c r="O81" s="16" t="inlineStr"/>
      <c r="P81" s="10" t="inlineStr">
        <is>
          <t>Pending</t>
        </is>
      </c>
      <c r="Q81" s="10" t="inlineStr"/>
      <c r="R81" s="14">
        <f>IF(OR(K81="Closed",L81=""),"",MAX(0,TODAY()-L81))</f>
        <v/>
      </c>
      <c r="S81" s="10" t="inlineStr"/>
    </row>
    <row r="82" ht="32" customHeight="1">
      <c r="C82" s="10" t="inlineStr">
        <is>
          <t>RFI-074</t>
        </is>
      </c>
      <c r="D82" s="10" t="inlineStr">
        <is>
          <t>Laboratory Qualification</t>
        </is>
      </c>
      <c r="E82" s="10" t="inlineStr">
        <is>
          <t>Provide complete raw-data access and sponsor/regulator audit rights in the quality agreement.</t>
        </is>
      </c>
      <c r="F82" s="10" t="inlineStr">
        <is>
          <t>High</t>
        </is>
      </c>
      <c r="G82" s="10" t="inlineStr">
        <is>
          <t>Laboratories</t>
        </is>
      </c>
      <c r="H82" s="10" t="inlineStr"/>
      <c r="I82" s="10" t="inlineStr">
        <is>
          <t>No-Go</t>
        </is>
      </c>
      <c r="J82" s="10" t="inlineStr"/>
      <c r="K82" s="10" t="inlineStr">
        <is>
          <t>Not Started</t>
        </is>
      </c>
      <c r="L82" s="16" t="inlineStr"/>
      <c r="M82" s="13" t="n">
        <v>10</v>
      </c>
      <c r="N82" s="17">
        <f>IF(L82="","",L82+M82)</f>
        <v/>
      </c>
      <c r="O82" s="16" t="inlineStr"/>
      <c r="P82" s="10" t="inlineStr">
        <is>
          <t>Pending</t>
        </is>
      </c>
      <c r="Q82" s="10" t="inlineStr"/>
      <c r="R82" s="14">
        <f>IF(OR(K82="Closed",L82=""),"",MAX(0,TODAY()-L82))</f>
        <v/>
      </c>
      <c r="S82" s="10" t="inlineStr"/>
    </row>
    <row r="83" ht="32" customHeight="1">
      <c r="C83" s="10" t="inlineStr">
        <is>
          <t>RFI-075</t>
        </is>
      </c>
      <c r="D83" s="10" t="inlineStr">
        <is>
          <t>Laboratory Qualification</t>
        </is>
      </c>
      <c r="E83" s="10" t="inlineStr">
        <is>
          <t>Execute blind split-sample testing on at least three representative lots under an approved comparability protocol.</t>
        </is>
      </c>
      <c r="F83" s="10" t="inlineStr">
        <is>
          <t>High</t>
        </is>
      </c>
      <c r="G83" s="10" t="inlineStr">
        <is>
          <t>Laboratories</t>
        </is>
      </c>
      <c r="H83" s="10" t="inlineStr"/>
      <c r="I83" s="10" t="inlineStr">
        <is>
          <t>Method Qualification</t>
        </is>
      </c>
      <c r="J83" s="10" t="inlineStr"/>
      <c r="K83" s="10" t="inlineStr">
        <is>
          <t>Not Started</t>
        </is>
      </c>
      <c r="L83" s="16" t="inlineStr"/>
      <c r="M83" s="13" t="n">
        <v>10</v>
      </c>
      <c r="N83" s="17">
        <f>IF(L83="","",L83+M83)</f>
        <v/>
      </c>
      <c r="O83" s="16" t="inlineStr"/>
      <c r="P83" s="10" t="inlineStr">
        <is>
          <t>Pending</t>
        </is>
      </c>
      <c r="Q83" s="10" t="inlineStr"/>
      <c r="R83" s="14">
        <f>IF(OR(K83="Closed",L83=""),"",MAX(0,TODAY()-L83))</f>
        <v/>
      </c>
      <c r="S83" s="10" t="inlineStr"/>
    </row>
    <row r="84" ht="32" customHeight="1">
      <c r="C84" s="10" t="inlineStr">
        <is>
          <t>RFI-076</t>
        </is>
      </c>
      <c r="D84" s="10" t="inlineStr">
        <is>
          <t>Laboratory Qualification</t>
        </is>
      </c>
      <c r="E84" s="10" t="inlineStr">
        <is>
          <t>Investigate discordance using complete raw data; prohibit averaging away OOS and uncontrolled retest/resample.</t>
        </is>
      </c>
      <c r="F84" s="10" t="inlineStr">
        <is>
          <t>High</t>
        </is>
      </c>
      <c r="G84" s="10" t="inlineStr">
        <is>
          <t>Laboratories</t>
        </is>
      </c>
      <c r="H84" s="10" t="inlineStr"/>
      <c r="I84" s="10" t="inlineStr">
        <is>
          <t>Method Qualification</t>
        </is>
      </c>
      <c r="J84" s="10" t="inlineStr"/>
      <c r="K84" s="10" t="inlineStr">
        <is>
          <t>Not Started</t>
        </is>
      </c>
      <c r="L84" s="16" t="inlineStr"/>
      <c r="M84" s="13" t="n">
        <v>10</v>
      </c>
      <c r="N84" s="17">
        <f>IF(L84="","",L84+M84)</f>
        <v/>
      </c>
      <c r="O84" s="16" t="inlineStr"/>
      <c r="P84" s="10" t="inlineStr">
        <is>
          <t>Pending</t>
        </is>
      </c>
      <c r="Q84" s="10" t="inlineStr"/>
      <c r="R84" s="14">
        <f>IF(OR(K84="Closed",L84=""),"",MAX(0,TODAY()-L84))</f>
        <v/>
      </c>
      <c r="S84" s="10" t="inlineStr"/>
    </row>
    <row r="85" ht="32" customHeight="1">
      <c r="C85" s="10" t="inlineStr">
        <is>
          <t>RFI-077</t>
        </is>
      </c>
      <c r="D85" s="10" t="inlineStr">
        <is>
          <t>Laboratory Qualification</t>
        </is>
      </c>
      <c r="E85" s="10" t="inlineStr">
        <is>
          <t>Provide stability chamber mapping, alarms, backup power, excursion records and disaster-recovery tests where stability work is proposed.</t>
        </is>
      </c>
      <c r="F85" s="10" t="inlineStr">
        <is>
          <t>Medium</t>
        </is>
      </c>
      <c r="G85" s="10" t="inlineStr">
        <is>
          <t>Laboratories</t>
        </is>
      </c>
      <c r="H85" s="10" t="inlineStr"/>
      <c r="I85" s="10" t="inlineStr">
        <is>
          <t>Pre-contract</t>
        </is>
      </c>
      <c r="J85" s="10" t="inlineStr"/>
      <c r="K85" s="10" t="inlineStr">
        <is>
          <t>Not Started</t>
        </is>
      </c>
      <c r="L85" s="16" t="inlineStr"/>
      <c r="M85" s="13" t="n">
        <v>10</v>
      </c>
      <c r="N85" s="17">
        <f>IF(L85="","",L85+M85)</f>
        <v/>
      </c>
      <c r="O85" s="16" t="inlineStr"/>
      <c r="P85" s="10" t="inlineStr">
        <is>
          <t>Pending</t>
        </is>
      </c>
      <c r="Q85" s="10" t="inlineStr"/>
      <c r="R85" s="14">
        <f>IF(OR(K85="Closed",L85=""),"",MAX(0,TODAY()-L85))</f>
        <v/>
      </c>
      <c r="S85" s="10" t="inlineStr"/>
    </row>
    <row r="86" ht="32" customHeight="1">
      <c r="C86" s="10" t="inlineStr">
        <is>
          <t>RFI-078</t>
        </is>
      </c>
      <c r="D86" s="10" t="inlineStr">
        <is>
          <t>Laboratory Qualification</t>
        </is>
      </c>
      <c r="E86" s="10" t="inlineStr">
        <is>
          <t>Demonstrate successful method transfer/verification and issue a final method/site qualification report with restrictions and requalification triggers.</t>
        </is>
      </c>
      <c r="F86" s="10" t="inlineStr">
        <is>
          <t>High</t>
        </is>
      </c>
      <c r="G86" s="10" t="inlineStr">
        <is>
          <t>Laboratories</t>
        </is>
      </c>
      <c r="H86" s="10" t="inlineStr"/>
      <c r="I86" s="10" t="inlineStr">
        <is>
          <t>Method Qualification</t>
        </is>
      </c>
      <c r="J86" s="10" t="inlineStr"/>
      <c r="K86" s="10" t="inlineStr">
        <is>
          <t>Not Started</t>
        </is>
      </c>
      <c r="L86" s="16" t="inlineStr"/>
      <c r="M86" s="13" t="n">
        <v>10</v>
      </c>
      <c r="N86" s="17">
        <f>IF(L86="","",L86+M86)</f>
        <v/>
      </c>
      <c r="O86" s="16" t="inlineStr"/>
      <c r="P86" s="10" t="inlineStr">
        <is>
          <t>Pending</t>
        </is>
      </c>
      <c r="Q86" s="10" t="inlineStr"/>
      <c r="R86" s="14">
        <f>IF(OR(K86="Closed",L86=""),"",MAX(0,TODAY()-L86))</f>
        <v/>
      </c>
      <c r="S86" s="10" t="inlineStr"/>
    </row>
  </sheetData>
  <autoFilter ref="C8:S86"/>
  <conditionalFormatting sqref="F9:F86">
    <cfRule type="expression" priority="1" dxfId="2">
      <formula>F9="High"</formula>
    </cfRule>
    <cfRule type="expression" priority="2" dxfId="3">
      <formula>F9="Medium"</formula>
    </cfRule>
    <cfRule type="expression" priority="3" dxfId="1">
      <formula>F9="Low"</formula>
    </cfRule>
  </conditionalFormatting>
  <conditionalFormatting sqref="K9:K86">
    <cfRule type="expression" priority="4" dxfId="0">
      <formula>K9="Closed"</formula>
    </cfRule>
    <cfRule type="expression" priority="5" dxfId="2">
      <formula>K9="Rejected"</formula>
    </cfRule>
  </conditionalFormatting>
  <conditionalFormatting sqref="P9:P86">
    <cfRule type="expression" priority="6" dxfId="2">
      <formula>P9="Unacceptable"</formula>
    </cfRule>
  </conditionalFormatting>
  <conditionalFormatting sqref="R9:R86">
    <cfRule type="cellIs" priority="7" operator="greaterThan" dxfId="3">
      <formula>15</formula>
    </cfRule>
  </conditionalFormatting>
  <dataValidations count="3">
    <dataValidation sqref="F9:F86" showDropDown="0" showInputMessage="0" showErrorMessage="0" allowBlank="1" type="list">
      <formula1>"High,Medium,Low"</formula1>
    </dataValidation>
    <dataValidation sqref="K9:K86" showDropDown="0" showInputMessage="0" showErrorMessage="0" allowBlank="1" type="list">
      <formula1>"Not Started,Requested,Partial,Received,In Review,Closed,Rejected,Not Applicable"</formula1>
    </dataValidation>
    <dataValidation sqref="P9:P86" showDropDown="0" showInputMessage="0" showErrorMessage="0" allowBlank="1" type="list">
      <formula1>"Pending,Acceptable,Conditional,Unacceptable,Not Applicable"</formula1>
    </dataValidation>
  </dataValidations>
  <pageMargins left="0.75" right="0.75" top="1" bottom="1" header="0.5" footer="0.5"/>
  <pageSetup orientation="landscape" fitToHeight="0" fitToWidth="1"/>
  <headerFooter>
    <oddHeader/>
    <oddFooter>&amp;C&amp;8 &amp;K666666RFI Tracker | Page &amp;P of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M28"/>
  <sheetViews>
    <sheetView showGridLines="0" view="pageBreakPreview" workbookViewId="0">
      <selection activeCell="A1" sqref="A1"/>
    </sheetView>
  </sheetViews>
  <sheetFormatPr baseColWidth="8" defaultRowHeight="15"/>
  <cols>
    <col width="20" customWidth="1" min="1" max="1"/>
    <col width="20" customWidth="1" min="2" max="2"/>
    <col width="48" customWidth="1" min="3" max="3"/>
    <col width="48" customWidth="1" min="4" max="4"/>
    <col width="64" customWidth="1" min="5" max="5"/>
    <col width="31" customWidth="1" min="6" max="6"/>
    <col width="34" customWidth="1" min="7" max="7"/>
    <col width="42" customWidth="1" min="8" max="8"/>
    <col width="16" customWidth="1" min="9" max="9"/>
    <col width="13" customWidth="1" min="10" max="10"/>
    <col width="13" customWidth="1" min="11" max="11"/>
    <col width="13" customWidth="1" min="12" max="12"/>
    <col width="40" customWidth="1" min="13" max="13"/>
  </cols>
  <sheetData>
    <row r="1"/>
    <row r="2"/>
    <row r="3" ht="24" customHeight="1">
      <c r="C3" s="1" t="inlineStr">
        <is>
          <t>Ninety-Day Supplier Qualification Programme</t>
        </is>
      </c>
      <c r="D3" s="2" t="n"/>
      <c r="E3" s="2" t="n"/>
      <c r="F3" s="2" t="n"/>
      <c r="G3" s="2" t="n"/>
      <c r="H3" s="2" t="n"/>
      <c r="I3" s="2" t="n"/>
      <c r="J3" s="2" t="n"/>
      <c r="K3" s="2" t="n"/>
      <c r="L3" s="2" t="n"/>
      <c r="M3" s="2" t="n"/>
    </row>
    <row r="4"/>
    <row r="5">
      <c r="C5" s="3" t="inlineStr">
        <is>
          <t>Cross-functional documentary review, technical assessment, audit, laboratory qualification, CAPA and board disposition</t>
        </is>
      </c>
    </row>
    <row r="6">
      <c r="C6" s="4" t="inlineStr">
        <is>
          <t>No purchase or release while a critical/no-go item remains open</t>
        </is>
      </c>
    </row>
    <row r="7"/>
    <row r="8" ht="32" customHeight="1">
      <c r="C8" s="9" t="inlineStr">
        <is>
          <t>Phase</t>
        </is>
      </c>
      <c r="D8" s="9" t="inlineStr">
        <is>
          <t>Timing</t>
        </is>
      </c>
      <c r="E8" s="9" t="inlineStr">
        <is>
          <t>Activity</t>
        </is>
      </c>
      <c r="F8" s="9" t="inlineStr">
        <is>
          <t>Primary Owner</t>
        </is>
      </c>
      <c r="G8" s="9" t="inlineStr">
        <is>
          <t>Inputs</t>
        </is>
      </c>
      <c r="H8" s="9" t="inlineStr">
        <is>
          <t>Deliverable</t>
        </is>
      </c>
      <c r="I8" s="9" t="inlineStr">
        <is>
          <t>Gate</t>
        </is>
      </c>
      <c r="J8" s="9" t="inlineStr">
        <is>
          <t>Status</t>
        </is>
      </c>
      <c r="K8" s="9" t="inlineStr">
        <is>
          <t>Target Date</t>
        </is>
      </c>
      <c r="L8" s="9" t="inlineStr">
        <is>
          <t>Actual Date</t>
        </is>
      </c>
      <c r="M8" s="9" t="inlineStr">
        <is>
          <t>Evidence / Decision Note</t>
        </is>
      </c>
    </row>
    <row r="9">
      <c r="C9" s="10" t="inlineStr">
        <is>
          <t>1</t>
        </is>
      </c>
      <c r="D9" s="10" t="inlineStr">
        <is>
          <t>Days 0–10</t>
        </is>
      </c>
      <c r="E9" s="10" t="inlineStr">
        <is>
          <t>Freeze product target profile, dosage form, annual demand, registered-market strategy and evidence requirements; issue NDAs and RFIs.</t>
        </is>
      </c>
      <c r="F9" s="10" t="inlineStr">
        <is>
          <t>Project Lead / Regulatory</t>
        </is>
      </c>
      <c r="G9" s="10" t="inlineStr">
        <is>
          <t>Target product profile and forecast</t>
        </is>
      </c>
      <c r="H9" s="10" t="inlineStr">
        <is>
          <t>Approved requirement and one exact proposed chain per supplier</t>
        </is>
      </c>
      <c r="I9" s="10" t="inlineStr">
        <is>
          <t>RFI Approved</t>
        </is>
      </c>
      <c r="J9" s="10" t="inlineStr">
        <is>
          <t>Not Started</t>
        </is>
      </c>
      <c r="K9" s="16" t="inlineStr"/>
      <c r="L9" s="16" t="inlineStr"/>
      <c r="M9" s="10" t="inlineStr"/>
    </row>
    <row r="10">
      <c r="C10" s="10" t="inlineStr">
        <is>
          <t>2</t>
        </is>
      </c>
      <c r="D10" s="10" t="inlineStr">
        <is>
          <t>Days 11–25</t>
        </is>
      </c>
      <c r="E10" s="10" t="inlineStr">
        <is>
          <t>Verify legal entities, licences, regulator records, dossier references, sanctions/export constraints and adverse-history packages.</t>
        </is>
      </c>
      <c r="F10" s="10" t="inlineStr">
        <is>
          <t>Regulatory / Quality / Legal</t>
        </is>
      </c>
      <c r="G10" s="10" t="inlineStr">
        <is>
          <t>RFI responses and primary records</t>
        </is>
      </c>
      <c r="H10" s="10" t="inlineStr">
        <is>
          <t>Document-completeness score and reject/advance list</t>
        </is>
      </c>
      <c r="I10" s="10" t="inlineStr">
        <is>
          <t>Document Gate</t>
        </is>
      </c>
      <c r="J10" s="10" t="inlineStr">
        <is>
          <t>Not Started</t>
        </is>
      </c>
      <c r="K10" s="16" t="inlineStr"/>
      <c r="L10" s="16" t="inlineStr"/>
      <c r="M10" s="10" t="inlineStr"/>
    </row>
    <row r="11">
      <c r="C11" s="10" t="inlineStr">
        <is>
          <t>3</t>
        </is>
      </c>
      <c r="D11" s="10" t="inlineStr">
        <is>
          <t>Days 26–40</t>
        </is>
      </c>
      <c r="E11" s="10" t="inlineStr">
        <is>
          <t>Review route, scale, PPQ/CPV, impurity strategy, analytical/stability data, cleaning and sterile/device evidence.</t>
        </is>
      </c>
      <c r="F11" s="10" t="inlineStr">
        <is>
          <t>Technical / Quality</t>
        </is>
      </c>
      <c r="G11" s="10" t="inlineStr">
        <is>
          <t>Technical document room</t>
        </is>
      </c>
      <c r="H11" s="10" t="inlineStr">
        <is>
          <t>Product/site technical risk assessment and audit agenda</t>
        </is>
      </c>
      <c r="I11" s="10" t="inlineStr">
        <is>
          <t>Technical Gate</t>
        </is>
      </c>
      <c r="J11" s="10" t="inlineStr">
        <is>
          <t>Not Started</t>
        </is>
      </c>
      <c r="K11" s="16" t="inlineStr"/>
      <c r="L11" s="16" t="inlineStr"/>
      <c r="M11" s="10" t="inlineStr"/>
    </row>
    <row r="12">
      <c r="C12" s="10" t="inlineStr">
        <is>
          <t>4</t>
        </is>
      </c>
      <c r="D12" s="10" t="inlineStr">
        <is>
          <t>Days 41–55</t>
        </is>
      </c>
      <c r="E12" s="10" t="inlineStr">
        <is>
          <t>Assess material genealogy, capacity, subcontractors, BCP, cold chain, South Africa lane and quality-agreement redlines.</t>
        </is>
      </c>
      <c r="F12" s="10" t="inlineStr">
        <is>
          <t>Supply / Quality / Commercial</t>
        </is>
      </c>
      <c r="G12" s="10" t="inlineStr">
        <is>
          <t>Supplier map, capacity and logistics data</t>
        </is>
      </c>
      <c r="H12" s="10" t="inlineStr">
        <is>
          <t>Approved dependency map and preliminary SAHPRA gap assessment</t>
        </is>
      </c>
      <c r="I12" s="10" t="inlineStr">
        <is>
          <t>Supply Gate</t>
        </is>
      </c>
      <c r="J12" s="10" t="inlineStr">
        <is>
          <t>Not Started</t>
        </is>
      </c>
      <c r="K12" s="16" t="inlineStr"/>
      <c r="L12" s="16" t="inlineStr"/>
      <c r="M12" s="10" t="inlineStr"/>
    </row>
    <row r="13">
      <c r="C13" s="10" t="inlineStr">
        <is>
          <t>5</t>
        </is>
      </c>
      <c r="D13" s="10" t="inlineStr">
        <is>
          <t>Days 56–70</t>
        </is>
      </c>
      <c r="E13" s="10" t="inlineStr">
        <is>
          <t>Conduct risk-based on-site audits of proposed API and drug-product sites; review native data and adverse cases.</t>
        </is>
      </c>
      <c r="F13" s="10" t="inlineStr">
        <is>
          <t>Lead Auditor / SMEs</t>
        </is>
      </c>
      <c r="G13" s="10" t="inlineStr">
        <is>
          <t>Audit plan and document room</t>
        </is>
      </c>
      <c r="H13" s="10" t="inlineStr">
        <is>
          <t>Critical/major/other findings and preliminary disposition</t>
        </is>
      </c>
      <c r="I13" s="10" t="inlineStr">
        <is>
          <t>Audit Gate</t>
        </is>
      </c>
      <c r="J13" s="10" t="inlineStr">
        <is>
          <t>Not Started</t>
        </is>
      </c>
      <c r="K13" s="16" t="inlineStr"/>
      <c r="L13" s="16" t="inlineStr"/>
      <c r="M13" s="10" t="inlineStr"/>
    </row>
    <row r="14">
      <c r="C14" s="10" t="inlineStr">
        <is>
          <t>6</t>
        </is>
      </c>
      <c r="D14" s="10" t="inlineStr">
        <is>
          <t>Days 61–78</t>
        </is>
      </c>
      <c r="E14" s="10" t="inlineStr">
        <is>
          <t>Audit laboratories and run blind split-sample method exercise in parallel.</t>
        </is>
      </c>
      <c r="F14" s="10" t="inlineStr">
        <is>
          <t>QC / Laboratory Lead</t>
        </is>
      </c>
      <c r="G14" s="10" t="inlineStr">
        <is>
          <t>Approved protocol and three lots</t>
        </is>
      </c>
      <c r="H14" s="10" t="inlineStr">
        <is>
          <t>Method/site comparability, custody and raw-data assessment</t>
        </is>
      </c>
      <c r="I14" s="10" t="inlineStr">
        <is>
          <t>Method Gate</t>
        </is>
      </c>
      <c r="J14" s="10" t="inlineStr">
        <is>
          <t>Not Started</t>
        </is>
      </c>
      <c r="K14" s="16" t="inlineStr"/>
      <c r="L14" s="16" t="inlineStr"/>
      <c r="M14" s="10" t="inlineStr"/>
    </row>
    <row r="15">
      <c r="C15" s="10" t="inlineStr">
        <is>
          <t>7</t>
        </is>
      </c>
      <c r="D15" s="10" t="inlineStr">
        <is>
          <t>Days 71–85</t>
        </is>
      </c>
      <c r="E15" s="10" t="inlineStr">
        <is>
          <t>Review supplier/laboratory CAPA, close quality/technical agreements and confirm effectiveness plans.</t>
        </is>
      </c>
      <c r="F15" s="10" t="inlineStr">
        <is>
          <t>Quality / Legal / Supply</t>
        </is>
      </c>
      <c r="G15" s="10" t="inlineStr">
        <is>
          <t>CAPA and agreement redlines</t>
        </is>
      </c>
      <c r="H15" s="10" t="inlineStr">
        <is>
          <t>No critical open finding; acceptable owners/dates/effectiveness</t>
        </is>
      </c>
      <c r="I15" s="10" t="inlineStr">
        <is>
          <t>CAPA Gate</t>
        </is>
      </c>
      <c r="J15" s="10" t="inlineStr">
        <is>
          <t>Not Started</t>
        </is>
      </c>
      <c r="K15" s="16" t="inlineStr"/>
      <c r="L15" s="16" t="inlineStr"/>
      <c r="M15" s="10" t="inlineStr"/>
    </row>
    <row r="16">
      <c r="C16" s="10" t="inlineStr">
        <is>
          <t>8</t>
        </is>
      </c>
      <c r="D16" s="10" t="inlineStr">
        <is>
          <t>Days 86–90</t>
        </is>
      </c>
      <c r="E16" s="10" t="inlineStr">
        <is>
          <t>Cross-functional quality, regulatory, supply, legal and commercial decision board; re-score from verified evidence.</t>
        </is>
      </c>
      <c r="F16" s="10" t="inlineStr">
        <is>
          <t>Steering Committee</t>
        </is>
      </c>
      <c r="G16" s="10" t="inlineStr">
        <is>
          <t>Complete diligence file</t>
        </is>
      </c>
      <c r="H16" s="10" t="inlineStr">
        <is>
          <t>Conditional shortlist, hold or no-go with expiry/reassessment date</t>
        </is>
      </c>
      <c r="I16" s="10" t="inlineStr">
        <is>
          <t>Board Decision</t>
        </is>
      </c>
      <c r="J16" s="10" t="inlineStr">
        <is>
          <t>Not Started</t>
        </is>
      </c>
      <c r="K16" s="16" t="inlineStr"/>
      <c r="L16" s="16" t="inlineStr"/>
      <c r="M16" s="10" t="inlineStr"/>
    </row>
    <row r="17"/>
    <row r="18"/>
    <row r="19">
      <c r="C19" s="5" t="inlineStr">
        <is>
          <t>AUDIT SAMPLING MINIMUM</t>
        </is>
      </c>
      <c r="D19" s="5" t="n"/>
      <c r="E19" s="5" t="n"/>
      <c r="F19" s="5" t="n"/>
      <c r="G19" s="5" t="n"/>
      <c r="H19" s="5" t="n"/>
      <c r="I19" s="5" t="n"/>
      <c r="J19" s="5" t="n"/>
      <c r="K19" s="5" t="n"/>
      <c r="L19" s="5" t="n"/>
      <c r="M19" s="5" t="n"/>
    </row>
    <row r="20"/>
    <row r="21" ht="32" customHeight="1">
      <c r="C21" s="9" t="inlineStr">
        <is>
          <t>Sample</t>
        </is>
      </c>
      <c r="D21" s="9" t="inlineStr">
        <is>
          <t>Audit expectation</t>
        </is>
      </c>
    </row>
    <row r="22">
      <c r="C22" s="10" t="inlineStr">
        <is>
          <t>Recent release batch</t>
        </is>
      </c>
      <c r="D22" s="10" t="inlineStr">
        <is>
          <t>Trace from materials and approved vendors through production, testing, release, storage and distribution.</t>
        </is>
      </c>
    </row>
    <row r="23">
      <c r="C23" s="10" t="inlineStr">
        <is>
          <t>Deviation or OOS batch</t>
        </is>
      </c>
      <c r="D23" s="10" t="inlineStr">
        <is>
          <t>Review original data, hypothesis, root cause, retest/resample, impact, CAPA and recurrence.</t>
        </is>
      </c>
    </row>
    <row r="24">
      <c r="C24" s="10" t="inlineStr">
        <is>
          <t>Reworked/reprocessed or low-yield batch</t>
        </is>
      </c>
      <c r="D24" s="10" t="inlineStr">
        <is>
          <t>Confirm authorization, scientific rationale, impurity impact and dossier consistency.</t>
        </is>
      </c>
    </row>
    <row r="25">
      <c r="C25" s="10" t="inlineStr">
        <is>
          <t>Stability OOT or complaint case</t>
        </is>
      </c>
      <c r="D25" s="10" t="inlineStr">
        <is>
          <t>Review trend rules, escalation, product impact, notification and CAPA.</t>
        </is>
      </c>
    </row>
    <row r="26">
      <c r="C26" s="10" t="inlineStr">
        <is>
          <t>Cleaning-validation run</t>
        </is>
      </c>
      <c r="D26" s="10" t="inlineStr">
        <is>
          <t>Confirm worst case, HBEL, recovery, sampling, shared equipment and continued verification.</t>
        </is>
      </c>
    </row>
    <row r="27">
      <c r="C27" s="10" t="inlineStr">
        <is>
          <t>Supplier/material change</t>
        </is>
      </c>
      <c r="D27" s="10" t="inlineStr">
        <is>
          <t>Trace qualification, comparability, change control, dossier impact and customer approval.</t>
        </is>
      </c>
    </row>
    <row r="28">
      <c r="C28" s="10" t="inlineStr">
        <is>
          <t>Sterile additions</t>
        </is>
      </c>
      <c r="D28" s="10" t="inlineStr">
        <is>
          <t>One failed/aborted APS if any, one EM action event, and one CCI or particulate investigation.</t>
        </is>
      </c>
    </row>
  </sheetData>
  <autoFilter ref="C8:M16"/>
  <conditionalFormatting sqref="J9:J16">
    <cfRule type="expression" priority="1" dxfId="0">
      <formula>J9="Complete"</formula>
    </cfRule>
    <cfRule type="expression" priority="2" dxfId="3">
      <formula>OR(J9="At Risk",J9="Hold")</formula>
    </cfRule>
    <cfRule type="expression" priority="3" dxfId="2">
      <formula>J9="Rejected"</formula>
    </cfRule>
  </conditionalFormatting>
  <dataValidations count="1">
    <dataValidation sqref="J9:J100" showDropDown="0" showInputMessage="0" showErrorMessage="0" allowBlank="0" type="list">
      <formula1>"Not Started,In Progress,At Risk,Complete,Hold,Rejected"</formula1>
    </dataValidation>
  </dataValidations>
  <pageMargins left="0.75" right="0.75" top="1" bottom="1" header="0.5" footer="0.5"/>
  <pageSetup orientation="landscape" fitToHeight="0" fitToWidth="1"/>
  <headerFooter>
    <oddHeader/>
    <oddFooter>&amp;C&amp;8 &amp;K66666690-Day Plan | Page &amp;P of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N28"/>
  <sheetViews>
    <sheetView showGridLines="0" view="pageBreakPreview" workbookViewId="0">
      <selection activeCell="A1" sqref="A1"/>
    </sheetView>
  </sheetViews>
  <sheetFormatPr baseColWidth="8" defaultRowHeight="15"/>
  <cols>
    <col width="20" customWidth="1" min="1" max="1"/>
    <col width="20" customWidth="1" min="2" max="2"/>
    <col width="48" customWidth="1" min="3" max="3"/>
    <col width="21" customWidth="1" min="4" max="4"/>
    <col width="52" customWidth="1" min="5" max="5"/>
    <col width="32" customWidth="1" min="6" max="6"/>
    <col width="12" customWidth="1" min="7" max="7"/>
    <col width="10" customWidth="1" min="8" max="8"/>
    <col width="42" customWidth="1" min="9" max="9"/>
    <col width="52" customWidth="1" min="10" max="10"/>
    <col width="22" customWidth="1" min="11" max="11"/>
    <col width="18" customWidth="1" min="12" max="12"/>
    <col width="13" customWidth="1" min="13" max="13"/>
    <col width="40" customWidth="1" min="14" max="14"/>
  </cols>
  <sheetData>
    <row r="1"/>
    <row r="2"/>
    <row r="3" ht="24" customHeight="1">
      <c r="C3" s="1" t="inlineStr">
        <is>
          <t>Supply-Chain Risk Register and No-Go Gates</t>
        </is>
      </c>
      <c r="D3" s="2" t="n"/>
      <c r="E3" s="2" t="n"/>
      <c r="F3" s="2" t="n"/>
      <c r="G3" s="2" t="n"/>
      <c r="H3" s="2" t="n"/>
      <c r="I3" s="2" t="n"/>
      <c r="J3" s="2" t="n"/>
      <c r="K3" s="2" t="n"/>
      <c r="L3" s="2" t="n"/>
      <c r="M3" s="2" t="n"/>
      <c r="N3" s="2" t="n"/>
    </row>
    <row r="4"/>
    <row r="5">
      <c r="C5" s="3" t="inlineStr">
        <is>
          <t>Risks are product-, site-, method- and lane-specific; numeric score never overrides a no-go condition</t>
        </is>
      </c>
    </row>
    <row r="6">
      <c r="C6" s="4" t="inlineStr">
        <is>
          <t>Disposition: Monitor / Conditional Hold / No-Go / Closed</t>
        </is>
      </c>
    </row>
    <row r="7"/>
    <row r="8" ht="32" customHeight="1">
      <c r="C8" s="9" t="inlineStr">
        <is>
          <t>Risk ID</t>
        </is>
      </c>
      <c r="D8" s="9" t="inlineStr">
        <is>
          <t>Domain</t>
        </is>
      </c>
      <c r="E8" s="9" t="inlineStr">
        <is>
          <t>Risk / Failure Mode</t>
        </is>
      </c>
      <c r="F8" s="9" t="inlineStr">
        <is>
          <t>Impacted Scope</t>
        </is>
      </c>
      <c r="G8" s="9" t="inlineStr">
        <is>
          <t>Likelihood</t>
        </is>
      </c>
      <c r="H8" s="9" t="inlineStr">
        <is>
          <t>Impact</t>
        </is>
      </c>
      <c r="I8" s="9" t="inlineStr">
        <is>
          <t>Current Evidence</t>
        </is>
      </c>
      <c r="J8" s="9" t="inlineStr">
        <is>
          <t>Required Mitigation</t>
        </is>
      </c>
      <c r="K8" s="9" t="inlineStr">
        <is>
          <t>Owner</t>
        </is>
      </c>
      <c r="L8" s="9" t="inlineStr">
        <is>
          <t>Disposition</t>
        </is>
      </c>
      <c r="M8" s="9" t="inlineStr">
        <is>
          <t>Target Date</t>
        </is>
      </c>
      <c r="N8" s="9" t="inlineStr">
        <is>
          <t>Evidence / Closure Note</t>
        </is>
      </c>
    </row>
    <row r="9">
      <c r="C9" s="10" t="inlineStr">
        <is>
          <t>R-001</t>
        </is>
      </c>
      <c r="D9" s="10" t="inlineStr">
        <is>
          <t>Regulatory</t>
        </is>
      </c>
      <c r="E9" s="10" t="inlineStr">
        <is>
          <t>No SAHPRA registration, site recognition or dossier linkage established.</t>
        </is>
      </c>
      <c r="F9" s="10" t="inlineStr">
        <is>
          <t>All proposed chains</t>
        </is>
      </c>
      <c r="G9" s="10" t="inlineStr">
        <is>
          <t>High</t>
        </is>
      </c>
      <c r="H9" s="10" t="inlineStr">
        <is>
          <t>Critical</t>
        </is>
      </c>
      <c r="I9" s="10" t="inlineStr">
        <is>
          <t>Unknown for every manufacturer.</t>
        </is>
      </c>
      <c r="J9" s="10" t="inlineStr">
        <is>
          <t>Commission South African regulatory gap assessment and fix applicant/importer/licence/dossier chain.</t>
        </is>
      </c>
      <c r="K9" s="10" t="inlineStr">
        <is>
          <t>Regulatory</t>
        </is>
      </c>
      <c r="L9" s="10" t="inlineStr">
        <is>
          <t>Conditional Hold</t>
        </is>
      </c>
      <c r="M9" s="16" t="inlineStr"/>
      <c r="N9" s="10" t="inlineStr"/>
    </row>
    <row r="10">
      <c r="C10" s="10" t="inlineStr">
        <is>
          <t>R-002</t>
        </is>
      </c>
      <c r="D10" s="10" t="inlineStr">
        <is>
          <t>Legal site</t>
        </is>
      </c>
      <c r="E10" s="10" t="inlineStr">
        <is>
          <t>Contract, licence, dossier and actual physical site do not match.</t>
        </is>
      </c>
      <c r="F10" s="10" t="inlineStr">
        <is>
          <t>Manufacturer or laboratory</t>
        </is>
      </c>
      <c r="G10" s="10" t="inlineStr">
        <is>
          <t>Medium</t>
        </is>
      </c>
      <c r="H10" s="10" t="inlineStr">
        <is>
          <t>Critical</t>
        </is>
      </c>
      <c r="I10" s="10" t="inlineStr">
        <is>
          <t>Public records incomplete for several entities.</t>
        </is>
      </c>
      <c r="J10" s="10" t="inlineStr">
        <is>
          <t>Reconcile legal entity, address, building, line, activity and authorized scope.</t>
        </is>
      </c>
      <c r="K10" s="10" t="inlineStr">
        <is>
          <t>Legal / Quality</t>
        </is>
      </c>
      <c r="L10" s="10" t="inlineStr">
        <is>
          <t>No-Go</t>
        </is>
      </c>
      <c r="M10" s="16" t="inlineStr"/>
      <c r="N10" s="10" t="inlineStr"/>
    </row>
    <row r="11">
      <c r="C11" s="10" t="inlineStr">
        <is>
          <t>R-003</t>
        </is>
      </c>
      <c r="D11" s="10" t="inlineStr">
        <is>
          <t>Data integrity</t>
        </is>
      </c>
      <c r="E11" s="10" t="inlineStr">
        <is>
          <t>Native electronic data or audit trails are refused, altered, selectively deleted or incomplete.</t>
        </is>
      </c>
      <c r="F11" s="10" t="inlineStr">
        <is>
          <t>All quality decisions</t>
        </is>
      </c>
      <c r="G11" s="10" t="inlineStr">
        <is>
          <t>Medium</t>
        </is>
      </c>
      <c r="H11" s="10" t="inlineStr">
        <is>
          <t>Critical</t>
        </is>
      </c>
      <c r="I11" s="10" t="inlineStr">
        <is>
          <t>Public DI evidence is weak.</t>
        </is>
      </c>
      <c r="J11" s="10" t="inlineStr">
        <is>
          <t>Contract raw-data rights; audit systems, roles, metadata, reintegration and backups.</t>
        </is>
      </c>
      <c r="K11" s="10" t="inlineStr">
        <is>
          <t>Quality</t>
        </is>
      </c>
      <c r="L11" s="10" t="inlineStr">
        <is>
          <t>No-Go</t>
        </is>
      </c>
      <c r="M11" s="16" t="inlineStr"/>
      <c r="N11" s="10" t="inlineStr"/>
    </row>
    <row r="12">
      <c r="C12" s="10" t="inlineStr">
        <is>
          <t>R-004</t>
        </is>
      </c>
      <c r="D12" s="10" t="inlineStr">
        <is>
          <t>Subcontracting</t>
        </is>
      </c>
      <c r="E12" s="10" t="inlineStr">
        <is>
          <t>Undisclosed manufacturing, testing, sterilization, device, storage or logistics subcontractor.</t>
        </is>
      </c>
      <c r="F12" s="10" t="inlineStr">
        <is>
          <t>All proposed chains</t>
        </is>
      </c>
      <c r="G12" s="10" t="inlineStr">
        <is>
          <t>High</t>
        </is>
      </c>
      <c r="H12" s="10" t="inlineStr">
        <is>
          <t>Critical</t>
        </is>
      </c>
      <c r="I12" s="10" t="inlineStr">
        <is>
          <t>Public subcontract maps are generally absent.</t>
        </is>
      </c>
      <c r="J12" s="10" t="inlineStr">
        <is>
          <t>Named schedule, prior approval, audit rights and no further subcontracting.</t>
        </is>
      </c>
      <c r="K12" s="10" t="inlineStr">
        <is>
          <t>Quality / Supply</t>
        </is>
      </c>
      <c r="L12" s="10" t="inlineStr">
        <is>
          <t>No-Go</t>
        </is>
      </c>
      <c r="M12" s="16" t="inlineStr"/>
      <c r="N12" s="10" t="inlineStr"/>
    </row>
    <row r="13">
      <c r="C13" s="10" t="inlineStr">
        <is>
          <t>R-005</t>
        </is>
      </c>
      <c r="D13" s="10" t="inlineStr">
        <is>
          <t>Raw materials</t>
        </is>
      </c>
      <c r="E13" s="10" t="inlineStr">
        <is>
          <t>Critical amino acid, resin/linker, side chain or reagent manufacturer/country cannot be identified.</t>
        </is>
      </c>
      <c r="F13" s="10" t="inlineStr">
        <is>
          <t>Peptide API</t>
        </is>
      </c>
      <c r="G13" s="10" t="inlineStr">
        <is>
          <t>High</t>
        </is>
      </c>
      <c r="H13" s="10" t="inlineStr">
        <is>
          <t>Critical</t>
        </is>
      </c>
      <c r="I13" s="10" t="inlineStr">
        <is>
          <t>Origin and dual-source status generally unknown.</t>
        </is>
      </c>
      <c r="J13" s="10" t="inlineStr">
        <is>
          <t>Complete genealogy, risk assessment, second-source plan and safety stock.</t>
        </is>
      </c>
      <c r="K13" s="10" t="inlineStr">
        <is>
          <t>Supply / Technical</t>
        </is>
      </c>
      <c r="L13" s="10" t="inlineStr">
        <is>
          <t>No-Go</t>
        </is>
      </c>
      <c r="M13" s="16" t="inlineStr"/>
      <c r="N13" s="10" t="inlineStr"/>
    </row>
    <row r="14">
      <c r="C14" s="10" t="inlineStr">
        <is>
          <t>R-006</t>
        </is>
      </c>
      <c r="D14" s="10" t="inlineStr">
        <is>
          <t>Single site</t>
        </is>
      </c>
      <c r="E14" s="10" t="inlineStr">
        <is>
          <t>Only one validated API or sterile site/train is available.</t>
        </is>
      </c>
      <c r="F14" s="10" t="inlineStr">
        <is>
          <t>Most candidates</t>
        </is>
      </c>
      <c r="G14" s="10" t="inlineStr">
        <is>
          <t>High</t>
        </is>
      </c>
      <c r="H14" s="10" t="inlineStr">
        <is>
          <t>High</t>
        </is>
      </c>
      <c r="I14" s="10" t="inlineStr">
        <is>
          <t>Site concentration is widespread.</t>
        </is>
      </c>
      <c r="J14" s="10" t="inlineStr">
        <is>
          <t>BCP evidence, alternate-site milestone, transfer rights, buffer stock and RTO.</t>
        </is>
      </c>
      <c r="K14" s="10" t="inlineStr">
        <is>
          <t>Supply</t>
        </is>
      </c>
      <c r="L14" s="10" t="inlineStr">
        <is>
          <t>Conditional Hold</t>
        </is>
      </c>
      <c r="M14" s="16" t="inlineStr"/>
      <c r="N14" s="10" t="inlineStr"/>
    </row>
    <row r="15">
      <c r="C15" s="10" t="inlineStr">
        <is>
          <t>R-007</t>
        </is>
      </c>
      <c r="D15" s="10" t="inlineStr">
        <is>
          <t>Cold chain</t>
        </is>
      </c>
      <c r="E15" s="10" t="inlineStr">
        <is>
          <t>No qualified Asia-to-South-Africa lane or customs-delay simulation.</t>
        </is>
      </c>
      <c r="F15" s="10" t="inlineStr">
        <is>
          <t>Temperature-sensitive material</t>
        </is>
      </c>
      <c r="G15" s="10" t="inlineStr">
        <is>
          <t>High</t>
        </is>
      </c>
      <c r="H15" s="10" t="inlineStr">
        <is>
          <t>Critical</t>
        </is>
      </c>
      <c r="I15" s="10" t="inlineStr">
        <is>
          <t>Not publicly evidenced for any candidate.</t>
        </is>
      </c>
      <c r="J15" s="10" t="inlineStr">
        <is>
          <t>Seasonal lane qualification, loggers, backup carrier and excursion decision tree.</t>
        </is>
      </c>
      <c r="K15" s="10" t="inlineStr">
        <is>
          <t>Logistics / Quality</t>
        </is>
      </c>
      <c r="L15" s="10" t="inlineStr">
        <is>
          <t>Conditional Hold</t>
        </is>
      </c>
      <c r="M15" s="16" t="inlineStr"/>
      <c r="N15" s="10" t="inlineStr"/>
    </row>
    <row r="16">
      <c r="C16" s="10" t="inlineStr">
        <is>
          <t>R-008</t>
        </is>
      </c>
      <c r="D16" s="10" t="inlineStr">
        <is>
          <t>Process validation</t>
        </is>
      </c>
      <c r="E16" s="10" t="inlineStr">
        <is>
          <t>PPQ/CPV or equipment qualification is incomplete or adverse history is unresolved.</t>
        </is>
      </c>
      <c r="F16" s="10" t="inlineStr">
        <is>
          <t>CPC, Piramal and others</t>
        </is>
      </c>
      <c r="G16" s="10" t="inlineStr">
        <is>
          <t>Medium</t>
        </is>
      </c>
      <c r="H16" s="10" t="inlineStr">
        <is>
          <t>Critical</t>
        </is>
      </c>
      <c r="I16" s="10" t="inlineStr">
        <is>
          <t>Public 483/VAI history exists.</t>
        </is>
      </c>
      <c r="J16" s="10" t="inlineStr">
        <is>
          <t>Review full inspection packages, PPQ/CPV, CAPA effectiveness and recurrence.</t>
        </is>
      </c>
      <c r="K16" s="10" t="inlineStr">
        <is>
          <t>Technical / Quality</t>
        </is>
      </c>
      <c r="L16" s="10" t="inlineStr">
        <is>
          <t>Conditional Hold</t>
        </is>
      </c>
      <c r="M16" s="16" t="inlineStr"/>
      <c r="N16" s="10" t="inlineStr"/>
    </row>
    <row r="17">
      <c r="C17" s="10" t="inlineStr">
        <is>
          <t>R-009</t>
        </is>
      </c>
      <c r="D17" s="10" t="inlineStr">
        <is>
          <t>Cleaning</t>
        </is>
      </c>
      <c r="E17" s="10" t="inlineStr">
        <is>
          <t>Shared-equipment carryover/cleaning validation is inadequate.</t>
        </is>
      </c>
      <c r="F17" s="10" t="inlineStr">
        <is>
          <t>Multi-product API sites</t>
        </is>
      </c>
      <c r="G17" s="10" t="inlineStr">
        <is>
          <t>Medium</t>
        </is>
      </c>
      <c r="H17" s="10" t="inlineStr">
        <is>
          <t>Critical</t>
        </is>
      </c>
      <c r="I17" s="10" t="inlineStr">
        <is>
          <t>Specific FDA concern at Piramal/CPC-related histories.</t>
        </is>
      </c>
      <c r="J17" s="10" t="inlineStr">
        <is>
          <t>HBEL-based cleaning validation, worst-case selection and ongoing verification.</t>
        </is>
      </c>
      <c r="K17" s="10" t="inlineStr">
        <is>
          <t>Quality</t>
        </is>
      </c>
      <c r="L17" s="10" t="inlineStr">
        <is>
          <t>No-Go</t>
        </is>
      </c>
      <c r="M17" s="16" t="inlineStr"/>
      <c r="N17" s="10" t="inlineStr"/>
    </row>
    <row r="18">
      <c r="C18" s="10" t="inlineStr">
        <is>
          <t>R-010</t>
        </is>
      </c>
      <c r="D18" s="10" t="inlineStr">
        <is>
          <t>Sterility assurance</t>
        </is>
      </c>
      <c r="E18" s="10" t="inlineStr">
        <is>
          <t>CCS, APS, EM, sterilization/depyrogenation, CCI or particle evidence is inadequate.</t>
        </is>
      </c>
      <c r="F18" s="10" t="inlineStr">
        <is>
          <t>Sterile finished dose</t>
        </is>
      </c>
      <c r="G18" s="10" t="inlineStr">
        <is>
          <t>Medium</t>
        </is>
      </c>
      <c r="H18" s="10" t="inlineStr">
        <is>
          <t>Critical</t>
        </is>
      </c>
      <c r="I18" s="10" t="inlineStr">
        <is>
          <t>Public sterile evidence incomplete.</t>
        </is>
      </c>
      <c r="J18" s="10" t="inlineStr">
        <is>
          <t>Separate sterile-site audit and full assurance package.</t>
        </is>
      </c>
      <c r="K18" s="10" t="inlineStr">
        <is>
          <t>Sterile SME</t>
        </is>
      </c>
      <c r="L18" s="10" t="inlineStr">
        <is>
          <t>No-Go</t>
        </is>
      </c>
      <c r="M18" s="16" t="inlineStr"/>
      <c r="N18" s="10" t="inlineStr"/>
    </row>
    <row r="19">
      <c r="C19" s="10" t="inlineStr">
        <is>
          <t>R-011</t>
        </is>
      </c>
      <c r="D19" s="10" t="inlineStr">
        <is>
          <t>Device chain</t>
        </is>
      </c>
      <c r="E19" s="10" t="inlineStr">
        <is>
          <t>Component makers, assembly site, dose accuracy or complaint interface are opaque.</t>
        </is>
      </c>
      <c r="F19" s="10" t="inlineStr">
        <is>
          <t>PFS/pen/autoinjector</t>
        </is>
      </c>
      <c r="G19" s="10" t="inlineStr">
        <is>
          <t>High</t>
        </is>
      </c>
      <c r="H19" s="10" t="inlineStr">
        <is>
          <t>High</t>
        </is>
      </c>
      <c r="I19" s="10" t="inlineStr">
        <is>
          <t>Hybio/Scino device chains require disclosure.</t>
        </is>
      </c>
      <c r="J19" s="10" t="inlineStr">
        <is>
          <t>Map components and responsibilities; verify device/combination-product controls.</t>
        </is>
      </c>
      <c r="K19" s="10" t="inlineStr">
        <is>
          <t>Device SME</t>
        </is>
      </c>
      <c r="L19" s="10" t="inlineStr">
        <is>
          <t>Conditional Hold</t>
        </is>
      </c>
      <c r="M19" s="16" t="inlineStr"/>
      <c r="N19" s="10" t="inlineStr"/>
    </row>
    <row r="20">
      <c r="C20" s="10" t="inlineStr">
        <is>
          <t>R-012</t>
        </is>
      </c>
      <c r="D20" s="10" t="inlineStr">
        <is>
          <t>Laboratory scope</t>
        </is>
      </c>
      <c r="E20" s="10" t="inlineStr">
        <is>
          <t>Accreditation or licence does not cover the exact site/method/matrix.</t>
        </is>
      </c>
      <c r="F20" s="10" t="inlineStr">
        <is>
          <t>Independent testing</t>
        </is>
      </c>
      <c r="G20" s="10" t="inlineStr">
        <is>
          <t>High</t>
        </is>
      </c>
      <c r="H20" s="10" t="inlineStr">
        <is>
          <t>Critical</t>
        </is>
      </c>
      <c r="I20" s="10" t="inlineStr">
        <is>
          <t>All four labs have scope gaps; Intertek current scope is non-pharma.</t>
        </is>
      </c>
      <c r="J20" s="10" t="inlineStr">
        <is>
          <t>Obtain full scope annex, audit and method-by-method qualification.</t>
        </is>
      </c>
      <c r="K20" s="10" t="inlineStr">
        <is>
          <t>QC Lead</t>
        </is>
      </c>
      <c r="L20" s="10" t="inlineStr">
        <is>
          <t>Conditional Hold</t>
        </is>
      </c>
      <c r="M20" s="16" t="inlineStr"/>
      <c r="N20" s="10" t="inlineStr"/>
    </row>
    <row r="21">
      <c r="C21" s="10" t="inlineStr">
        <is>
          <t>R-013</t>
        </is>
      </c>
      <c r="D21" s="10" t="inlineStr">
        <is>
          <t>OOS governance</t>
        </is>
      </c>
      <c r="E21" s="10" t="inlineStr">
        <is>
          <t>Supplier or laboratory tests into compliance or averages away an OOS.</t>
        </is>
      </c>
      <c r="F21" s="10" t="inlineStr">
        <is>
          <t>Release testing</t>
        </is>
      </c>
      <c r="G21" s="10" t="inlineStr">
        <is>
          <t>Medium</t>
        </is>
      </c>
      <c r="H21" s="10" t="inlineStr">
        <is>
          <t>Critical</t>
        </is>
      </c>
      <c r="I21" s="10" t="inlineStr">
        <is>
          <t>Public procedures unavailable; Vimta nuance requires review.</t>
        </is>
      </c>
      <c r="J21" s="10" t="inlineStr">
        <is>
          <t>Quality agreement, case review, raw-data rights and sponsor approval before retest/resample.</t>
        </is>
      </c>
      <c r="K21" s="10" t="inlineStr">
        <is>
          <t>Quality</t>
        </is>
      </c>
      <c r="L21" s="10" t="inlineStr">
        <is>
          <t>No-Go</t>
        </is>
      </c>
      <c r="M21" s="16" t="inlineStr"/>
      <c r="N21" s="10" t="inlineStr"/>
    </row>
    <row r="22">
      <c r="C22" s="10" t="inlineStr">
        <is>
          <t>R-014</t>
        </is>
      </c>
      <c r="D22" s="10" t="inlineStr">
        <is>
          <t>Adverse event</t>
        </is>
      </c>
      <c r="E22" s="10" t="inlineStr">
        <is>
          <t>Open OAI/import restriction/licence suspension applies to the proposed chain.</t>
        </is>
      </c>
      <c r="F22" s="10" t="inlineStr">
        <is>
          <t>Site/product specific</t>
        </is>
      </c>
      <c r="G22" s="10" t="inlineStr">
        <is>
          <t>Medium</t>
        </is>
      </c>
      <c r="H22" s="10" t="inlineStr">
        <is>
          <t>Critical</t>
        </is>
      </c>
      <c r="I22" s="10" t="inlineStr">
        <is>
          <t>Several historical events require current status.</t>
        </is>
      </c>
      <c r="J22" s="10" t="inlineStr">
        <is>
          <t>Direct regulator verification and accepted closure before progression.</t>
        </is>
      </c>
      <c r="K22" s="10" t="inlineStr">
        <is>
          <t>Regulatory / Quality</t>
        </is>
      </c>
      <c r="L22" s="10" t="inlineStr">
        <is>
          <t>No-Go</t>
        </is>
      </c>
      <c r="M22" s="16" t="inlineStr"/>
      <c r="N22" s="10" t="inlineStr"/>
    </row>
    <row r="23">
      <c r="C23" s="10" t="inlineStr">
        <is>
          <t>R-015</t>
        </is>
      </c>
      <c r="D23" s="10" t="inlineStr">
        <is>
          <t>Governance</t>
        </is>
      </c>
      <c r="E23" s="10" t="inlineStr">
        <is>
          <t>False disclosure, delayed reporting or weak quality governance undermines trust.</t>
        </is>
      </c>
      <c r="F23" s="10" t="inlineStr">
        <is>
          <t>Sinopep, Hybio and others</t>
        </is>
      </c>
      <c r="G23" s="10" t="inlineStr">
        <is>
          <t>Medium</t>
        </is>
      </c>
      <c r="H23" s="10" t="inlineStr">
        <is>
          <t>High</t>
        </is>
      </c>
      <c r="I23" s="10" t="inlineStr">
        <is>
          <t>Public governance events identified.</t>
        </is>
      </c>
      <c r="J23" s="10" t="inlineStr">
        <is>
          <t>Board remediation, DI-focused audit and record reconciliation.</t>
        </is>
      </c>
      <c r="K23" s="10" t="inlineStr">
        <is>
          <t>Legal / Quality</t>
        </is>
      </c>
      <c r="L23" s="10" t="inlineStr">
        <is>
          <t>Conditional Hold</t>
        </is>
      </c>
      <c r="M23" s="16" t="inlineStr"/>
      <c r="N23" s="10" t="inlineStr"/>
    </row>
    <row r="24">
      <c r="C24" s="10" t="inlineStr">
        <is>
          <t>R-016</t>
        </is>
      </c>
      <c r="D24" s="10" t="inlineStr">
        <is>
          <t>Capacity</t>
        </is>
      </c>
      <c r="E24" s="10" t="inlineStr">
        <is>
          <t>Purification/lyophilization bottleneck, high utilization or unreserved capacity causes shortage.</t>
        </is>
      </c>
      <c r="F24" s="10" t="inlineStr">
        <is>
          <t>Peptide API</t>
        </is>
      </c>
      <c r="G24" s="10" t="inlineStr">
        <is>
          <t>High</t>
        </is>
      </c>
      <c r="H24" s="10" t="inlineStr">
        <is>
          <t>High</t>
        </is>
      </c>
      <c r="I24" s="10" t="inlineStr">
        <is>
          <t>Headline reactor capacity may overstate released output.</t>
        </is>
      </c>
      <c r="J24" s="10" t="inlineStr">
        <is>
          <t>Normalize saleable throughput, reserve capacity and qualify alternate train/site.</t>
        </is>
      </c>
      <c r="K24" s="10" t="inlineStr">
        <is>
          <t>Supply / Technical</t>
        </is>
      </c>
      <c r="L24" s="10" t="inlineStr">
        <is>
          <t>Conditional Hold</t>
        </is>
      </c>
      <c r="M24" s="16" t="inlineStr"/>
      <c r="N24" s="10" t="inlineStr"/>
    </row>
    <row r="25">
      <c r="C25" s="10" t="inlineStr">
        <is>
          <t>R-017</t>
        </is>
      </c>
      <c r="D25" s="10" t="inlineStr">
        <is>
          <t>Geopolitical</t>
        </is>
      </c>
      <c r="E25" s="10" t="inlineStr">
        <is>
          <t>Sanctions, export controls, cross-strait/China concentration, payment or insurance disruption.</t>
        </is>
      </c>
      <c r="F25" s="10" t="inlineStr">
        <is>
          <t>China/Taiwan-linked chains</t>
        </is>
      </c>
      <c r="G25" s="10" t="inlineStr">
        <is>
          <t>Medium</t>
        </is>
      </c>
      <c r="H25" s="10" t="inlineStr">
        <is>
          <t>High</t>
        </is>
      </c>
      <c r="I25" s="10" t="inlineStr">
        <is>
          <t>Material external uncertainty.</t>
        </is>
      </c>
      <c r="J25" s="10" t="inlineStr">
        <is>
          <t>Legal monitoring, alternate geography, insurance, exit and transfer clauses.</t>
        </is>
      </c>
      <c r="K25" s="10" t="inlineStr">
        <is>
          <t>Legal / Supply</t>
        </is>
      </c>
      <c r="L25" s="10" t="inlineStr">
        <is>
          <t>Monitor</t>
        </is>
      </c>
      <c r="M25" s="16" t="inlineStr"/>
      <c r="N25" s="10" t="inlineStr"/>
    </row>
    <row r="26">
      <c r="C26" s="10" t="inlineStr">
        <is>
          <t>R-018</t>
        </is>
      </c>
      <c r="D26" s="10" t="inlineStr">
        <is>
          <t>Change control</t>
        </is>
      </c>
      <c r="E26" s="10" t="inlineStr">
        <is>
          <t>Unapproved site, route, raw material, test, device or packaging change conflicts with dossier.</t>
        </is>
      </c>
      <c r="F26" s="10" t="inlineStr">
        <is>
          <t>All chains</t>
        </is>
      </c>
      <c r="G26" s="10" t="inlineStr">
        <is>
          <t>Medium</t>
        </is>
      </c>
      <c r="H26" s="10" t="inlineStr">
        <is>
          <t>Critical</t>
        </is>
      </c>
      <c r="I26" s="10" t="inlineStr">
        <is>
          <t>Public commitments incomplete.</t>
        </is>
      </c>
      <c r="J26" s="10" t="inlineStr">
        <is>
          <t>Prior written approval, regulatory impact assessment and dossier/change governance.</t>
        </is>
      </c>
      <c r="K26" s="10" t="inlineStr">
        <is>
          <t>Regulatory / Quality</t>
        </is>
      </c>
      <c r="L26" s="10" t="inlineStr">
        <is>
          <t>No-Go</t>
        </is>
      </c>
      <c r="M26" s="16" t="inlineStr"/>
      <c r="N26" s="10" t="inlineStr"/>
    </row>
    <row r="27">
      <c r="C27" s="10" t="inlineStr">
        <is>
          <t>R-019</t>
        </is>
      </c>
      <c r="D27" s="10" t="inlineStr">
        <is>
          <t>Research material</t>
        </is>
      </c>
      <c r="E27" s="10" t="inlineStr">
        <is>
          <t>Research/non-GMP or brokered material enters therapeutic manufacture.</t>
        </is>
      </c>
      <c r="F27" s="10" t="inlineStr">
        <is>
          <t>All therapeutic products</t>
        </is>
      </c>
      <c r="G27" s="10" t="inlineStr">
        <is>
          <t>Low</t>
        </is>
      </c>
      <c r="H27" s="10" t="inlineStr">
        <is>
          <t>Critical</t>
        </is>
      </c>
      <c r="I27" s="10" t="inlineStr">
        <is>
          <t>Several groups offer research services.</t>
        </is>
      </c>
      <c r="J27" s="10" t="inlineStr">
        <is>
          <t>Explicit segregation, batch genealogy and contract prohibition.</t>
        </is>
      </c>
      <c r="K27" s="10" t="inlineStr">
        <is>
          <t>Quality</t>
        </is>
      </c>
      <c r="L27" s="10" t="inlineStr">
        <is>
          <t>No-Go</t>
        </is>
      </c>
      <c r="M27" s="16" t="inlineStr"/>
      <c r="N27" s="10" t="inlineStr"/>
    </row>
    <row r="28">
      <c r="C28" s="10" t="inlineStr">
        <is>
          <t>R-020</t>
        </is>
      </c>
      <c r="D28" s="10" t="inlineStr">
        <is>
          <t>Traceability</t>
        </is>
      </c>
      <c r="E28" s="10" t="inlineStr">
        <is>
          <t>Recall, returns, quarantine or shipment traceability cannot identify every batch and handoff.</t>
        </is>
      </c>
      <c r="F28" s="10" t="inlineStr">
        <is>
          <t>South Africa distribution</t>
        </is>
      </c>
      <c r="G28" s="10" t="inlineStr">
        <is>
          <t>Medium</t>
        </is>
      </c>
      <c r="H28" s="10" t="inlineStr">
        <is>
          <t>Critical</t>
        </is>
      </c>
      <c r="I28" s="10" t="inlineStr">
        <is>
          <t>No candidate SA lane tested.</t>
        </is>
      </c>
      <c r="J28" s="10" t="inlineStr">
        <is>
          <t>End-to-end mock recall and shipment trace before first commercial supply.</t>
        </is>
      </c>
      <c r="K28" s="10" t="inlineStr">
        <is>
          <t>Quality / Logistics</t>
        </is>
      </c>
      <c r="L28" s="10" t="inlineStr">
        <is>
          <t>Conditional Hold</t>
        </is>
      </c>
      <c r="M28" s="16" t="inlineStr"/>
      <c r="N28" s="10" t="inlineStr"/>
    </row>
  </sheetData>
  <autoFilter ref="C8:N28"/>
  <conditionalFormatting sqref="L9:L28">
    <cfRule type="expression" priority="1" dxfId="2">
      <formula>L9="No-Go"</formula>
    </cfRule>
    <cfRule type="expression" priority="2" dxfId="3">
      <formula>L9="Conditional Hold"</formula>
    </cfRule>
    <cfRule type="expression" priority="3" dxfId="0">
      <formula>L9="Closed"</formula>
    </cfRule>
  </conditionalFormatting>
  <dataValidations count="3">
    <dataValidation sqref="G9:G100" showDropDown="0" showInputMessage="0" showErrorMessage="0" allowBlank="0" type="list">
      <formula1>"Low,Medium,High"</formula1>
    </dataValidation>
    <dataValidation sqref="H9:H100" showDropDown="0" showInputMessage="0" showErrorMessage="0" allowBlank="0" type="list">
      <formula1>"Medium,High,Critical"</formula1>
    </dataValidation>
    <dataValidation sqref="L9:L100" showDropDown="0" showInputMessage="0" showErrorMessage="0" allowBlank="0" type="list">
      <formula1>"Monitor,Conditional Hold,No-Go,Closed"</formula1>
    </dataValidation>
  </dataValidations>
  <pageMargins left="0.75" right="0.75" top="1" bottom="1" header="0.5" footer="0.5"/>
  <pageSetup orientation="landscape" fitToHeight="0" fitToWidth="1"/>
  <headerFooter>
    <oddHeader/>
    <oddFooter>&amp;C&amp;8 &amp;K666666Risk &amp; No-Go | Page &amp;P of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I309"/>
  <sheetViews>
    <sheetView showGridLines="0" view="pageBreakPreview" workbookViewId="0">
      <selection activeCell="A1" sqref="A1"/>
    </sheetView>
  </sheetViews>
  <sheetFormatPr baseColWidth="8" defaultRowHeight="15"/>
  <cols>
    <col width="20" customWidth="1" min="1" max="1"/>
    <col width="20" customWidth="1" min="2" max="2"/>
    <col width="48" customWidth="1" min="3" max="3"/>
    <col width="14" customWidth="1" min="4" max="4"/>
    <col width="20" customWidth="1" min="5" max="5"/>
    <col width="30" customWidth="1" min="6" max="6"/>
    <col width="70" customWidth="1" min="7" max="7"/>
    <col width="16" customWidth="1" min="8" max="8"/>
    <col width="48" customWidth="1" min="9" max="9"/>
  </cols>
  <sheetData>
    <row r="1"/>
    <row r="2"/>
    <row r="3" ht="24" customHeight="1">
      <c r="C3" s="1" t="inlineStr">
        <is>
          <t>Research Source Register</t>
        </is>
      </c>
      <c r="D3" s="2" t="n"/>
      <c r="E3" s="2" t="n"/>
      <c r="F3" s="2" t="n"/>
      <c r="G3" s="2" t="n"/>
      <c r="H3" s="2" t="n"/>
      <c r="I3" s="2" t="n"/>
    </row>
    <row r="4"/>
    <row r="5">
      <c r="C5" s="3" t="inlineStr">
        <is>
          <t>Complete source inventory extracted from discovery, ten manufacturer dossiers and four laboratory dossiers</t>
        </is>
      </c>
    </row>
    <row r="6">
      <c r="C6" s="4" t="inlineStr">
        <is>
          <t>301 unique URLs | Access and content may change; archive primary evidence in the controlled data room</t>
        </is>
      </c>
    </row>
    <row r="7"/>
    <row r="8" ht="32" customHeight="1">
      <c r="C8" s="9" t="inlineStr">
        <is>
          <t>Source ID</t>
        </is>
      </c>
      <c r="D8" s="9" t="inlineStr">
        <is>
          <t>Category</t>
        </is>
      </c>
      <c r="E8" s="9" t="inlineStr">
        <is>
          <t>Entity / Dossier</t>
        </is>
      </c>
      <c r="F8" s="9" t="inlineStr">
        <is>
          <t>Source File</t>
        </is>
      </c>
      <c r="G8" s="9" t="inlineStr">
        <is>
          <t>URL</t>
        </is>
      </c>
      <c r="H8" s="9" t="inlineStr">
        <is>
          <t>Review Cutoff</t>
        </is>
      </c>
      <c r="I8" s="9" t="inlineStr">
        <is>
          <t>Evidence Note</t>
        </is>
      </c>
    </row>
    <row r="9">
      <c r="C9" s="10" t="inlineStr">
        <is>
          <t>SRC-001</t>
        </is>
      </c>
      <c r="D9" s="10" t="inlineStr">
        <is>
          <t>Discovery</t>
        </is>
      </c>
      <c r="E9" s="10" t="inlineStr">
        <is>
          <t>Discovery universe</t>
        </is>
      </c>
      <c r="F9" s="10" t="inlineStr">
        <is>
          <t>/home/ubuntu/george_asia_peptide_due_diligence/discovery.md</t>
        </is>
      </c>
      <c r="G9" s="18" t="inlineStr">
        <is>
          <t>https://www.fda.gov/drugs/drug-approvals-and-databases/drug-establishments-current-registration-site-decrs</t>
        </is>
      </c>
      <c r="H9" s="10" t="inlineStr">
        <is>
          <t>20 August 2026</t>
        </is>
      </c>
      <c r="I9" s="10" t="inlineStr">
        <is>
          <t>See cited dossier/report; issuer claims require primary-record verification where identified.</t>
        </is>
      </c>
    </row>
    <row r="10">
      <c r="C10" s="10" t="inlineStr">
        <is>
          <t>SRC-002</t>
        </is>
      </c>
      <c r="D10" s="10" t="inlineStr">
        <is>
          <t>Discovery</t>
        </is>
      </c>
      <c r="E10" s="10" t="inlineStr">
        <is>
          <t>Discovery universe</t>
        </is>
      </c>
      <c r="F10" s="10" t="inlineStr">
        <is>
          <t>/home/ubuntu/george_asia_peptide_due_diligence/discovery.md</t>
        </is>
      </c>
      <c r="G10" s="18" t="inlineStr">
        <is>
          <t>https://tides.wuxiapptec.com/</t>
        </is>
      </c>
      <c r="H10" s="10" t="inlineStr">
        <is>
          <t>20 August 2026</t>
        </is>
      </c>
      <c r="I10" s="10" t="inlineStr">
        <is>
          <t>See cited dossier/report; issuer claims require primary-record verification where identified.</t>
        </is>
      </c>
    </row>
    <row r="11">
      <c r="C11" s="10" t="inlineStr">
        <is>
          <t>SRC-003</t>
        </is>
      </c>
      <c r="D11" s="10" t="inlineStr">
        <is>
          <t>Discovery</t>
        </is>
      </c>
      <c r="E11" s="10" t="inlineStr">
        <is>
          <t>Discovery universe</t>
        </is>
      </c>
      <c r="F11" s="10" t="inlineStr">
        <is>
          <t>/home/ubuntu/george_asia_peptide_due_diligence/discovery.md</t>
        </is>
      </c>
      <c r="G11" s="18" t="inlineStr">
        <is>
          <t>https://tides.wuxiapptec.com/wuxi-apptecs-changzhou-and-taixing-api-sites-successfully-pass-fda-inspections/</t>
        </is>
      </c>
      <c r="H11" s="10" t="inlineStr">
        <is>
          <t>20 August 2026</t>
        </is>
      </c>
      <c r="I11" s="10" t="inlineStr">
        <is>
          <t>See cited dossier/report; issuer claims require primary-record verification where identified.</t>
        </is>
      </c>
    </row>
    <row r="12">
      <c r="C12" s="10" t="inlineStr">
        <is>
          <t>SRC-004</t>
        </is>
      </c>
      <c r="D12" s="10" t="inlineStr">
        <is>
          <t>Discovery</t>
        </is>
      </c>
      <c r="E12" s="10" t="inlineStr">
        <is>
          <t>Discovery universe</t>
        </is>
      </c>
      <c r="F12" s="10" t="inlineStr">
        <is>
          <t>/home/ubuntu/george_asia_peptide_due_diligence/discovery.md</t>
        </is>
      </c>
      <c r="G12" s="18" t="inlineStr">
        <is>
          <t>https://www.sinopep.com/quotation/gmp-peptides/</t>
        </is>
      </c>
      <c r="H12" s="10" t="inlineStr">
        <is>
          <t>20 August 2026</t>
        </is>
      </c>
      <c r="I12" s="10" t="inlineStr">
        <is>
          <t>See cited dossier/report; issuer claims require primary-record verification where identified.</t>
        </is>
      </c>
    </row>
    <row r="13">
      <c r="C13" s="10" t="inlineStr">
        <is>
          <t>SRC-005</t>
        </is>
      </c>
      <c r="D13" s="10" t="inlineStr">
        <is>
          <t>Discovery</t>
        </is>
      </c>
      <c r="E13" s="10" t="inlineStr">
        <is>
          <t>Discovery universe</t>
        </is>
      </c>
      <c r="F13" s="10" t="inlineStr">
        <is>
          <t>/home/ubuntu/george_asia_peptide_due_diligence/discovery.md</t>
        </is>
      </c>
      <c r="G13" s="18" t="inlineStr">
        <is>
          <t>https://www.fda.gov/media/190915/download</t>
        </is>
      </c>
      <c r="H13" s="10" t="inlineStr">
        <is>
          <t>20 August 2026</t>
        </is>
      </c>
      <c r="I13" s="10" t="inlineStr">
        <is>
          <t>See cited dossier/report; issuer claims require primary-record verification where identified.</t>
        </is>
      </c>
    </row>
    <row r="14">
      <c r="C14" s="10" t="inlineStr">
        <is>
          <t>SRC-006</t>
        </is>
      </c>
      <c r="D14" s="10" t="inlineStr">
        <is>
          <t>Discovery</t>
        </is>
      </c>
      <c r="E14" s="10" t="inlineStr">
        <is>
          <t>Discovery universe</t>
        </is>
      </c>
      <c r="F14" s="10" t="inlineStr">
        <is>
          <t>/home/ubuntu/george_asia_peptide_due_diligence/discovery.md</t>
        </is>
      </c>
      <c r="G14" s="18" t="inlineStr">
        <is>
          <t>https://www.fda.gov/media/183518/download</t>
        </is>
      </c>
      <c r="H14" s="10" t="inlineStr">
        <is>
          <t>20 August 2026</t>
        </is>
      </c>
      <c r="I14" s="10" t="inlineStr">
        <is>
          <t>See cited dossier/report; issuer claims require primary-record verification where identified.</t>
        </is>
      </c>
    </row>
    <row r="15">
      <c r="C15" s="10" t="inlineStr">
        <is>
          <t>SRC-007</t>
        </is>
      </c>
      <c r="D15" s="10" t="inlineStr">
        <is>
          <t>Discovery</t>
        </is>
      </c>
      <c r="E15" s="10" t="inlineStr">
        <is>
          <t>Discovery universe</t>
        </is>
      </c>
      <c r="F15" s="10" t="inlineStr">
        <is>
          <t>/home/ubuntu/george_asia_peptide_due_diligence/discovery.md</t>
        </is>
      </c>
      <c r="G15" s="18" t="inlineStr">
        <is>
          <t>https://www.hybio.com/about-us/</t>
        </is>
      </c>
      <c r="H15" s="10" t="inlineStr">
        <is>
          <t>20 August 2026</t>
        </is>
      </c>
      <c r="I15" s="10" t="inlineStr">
        <is>
          <t>See cited dossier/report; issuer claims require primary-record verification where identified.</t>
        </is>
      </c>
    </row>
    <row r="16">
      <c r="C16" s="10" t="inlineStr">
        <is>
          <t>SRC-008</t>
        </is>
      </c>
      <c r="D16" s="10" t="inlineStr">
        <is>
          <t>Discovery</t>
        </is>
      </c>
      <c r="E16" s="10" t="inlineStr">
        <is>
          <t>Discovery universe</t>
        </is>
      </c>
      <c r="F16" s="10" t="inlineStr">
        <is>
          <t>/home/ubuntu/george_asia_peptide_due_diligence/discovery.md</t>
        </is>
      </c>
      <c r="G16" s="18" t="inlineStr">
        <is>
          <t>https://www.fda.gov/media/148286/download</t>
        </is>
      </c>
      <c r="H16" s="10" t="inlineStr">
        <is>
          <t>20 August 2026</t>
        </is>
      </c>
      <c r="I16" s="10" t="inlineStr">
        <is>
          <t>See cited dossier/report; issuer claims require primary-record verification where identified.</t>
        </is>
      </c>
    </row>
    <row r="17">
      <c r="C17" s="10" t="inlineStr">
        <is>
          <t>SRC-009</t>
        </is>
      </c>
      <c r="D17" s="10" t="inlineStr">
        <is>
          <t>Discovery</t>
        </is>
      </c>
      <c r="E17" s="10" t="inlineStr">
        <is>
          <t>Discovery universe</t>
        </is>
      </c>
      <c r="F17" s="10" t="inlineStr">
        <is>
          <t>/home/ubuntu/george_asia_peptide_due_diligence/discovery.md</t>
        </is>
      </c>
      <c r="G17" s="18" t="inlineStr">
        <is>
          <t>https://cpcscientific.com/custom-peptide-synthesis/cgmp-peptide-manufacturing/</t>
        </is>
      </c>
      <c r="H17" s="10" t="inlineStr">
        <is>
          <t>20 August 2026</t>
        </is>
      </c>
      <c r="I17" s="10" t="inlineStr">
        <is>
          <t>See cited dossier/report; issuer claims require primary-record verification where identified.</t>
        </is>
      </c>
    </row>
    <row r="18">
      <c r="C18" s="10" t="inlineStr">
        <is>
          <t>SRC-010</t>
        </is>
      </c>
      <c r="D18" s="10" t="inlineStr">
        <is>
          <t>Discovery</t>
        </is>
      </c>
      <c r="E18" s="10" t="inlineStr">
        <is>
          <t>Discovery universe</t>
        </is>
      </c>
      <c r="F18" s="10" t="inlineStr">
        <is>
          <t>/home/ubuntu/george_asia_peptide_due_diligence/discovery.md</t>
        </is>
      </c>
      <c r="G18" s="18" t="inlineStr">
        <is>
          <t>https://www.fda.gov/media/178556/download</t>
        </is>
      </c>
      <c r="H18" s="10" t="inlineStr">
        <is>
          <t>20 August 2026</t>
        </is>
      </c>
      <c r="I18" s="10" t="inlineStr">
        <is>
          <t>See cited dossier/report; issuer claims require primary-record verification where identified.</t>
        </is>
      </c>
    </row>
    <row r="19">
      <c r="C19" s="10" t="inlineStr">
        <is>
          <t>SRC-011</t>
        </is>
      </c>
      <c r="D19" s="10" t="inlineStr">
        <is>
          <t>Discovery</t>
        </is>
      </c>
      <c r="E19" s="10" t="inlineStr">
        <is>
          <t>Discovery universe</t>
        </is>
      </c>
      <c r="F19" s="10" t="inlineStr">
        <is>
          <t>/home/ubuntu/george_asia_peptide_due_diligence/discovery.md</t>
        </is>
      </c>
      <c r="G19" s="18" t="inlineStr">
        <is>
          <t>https://www.fda.gov/media/181469/download</t>
        </is>
      </c>
      <c r="H19" s="10" t="inlineStr">
        <is>
          <t>20 August 2026</t>
        </is>
      </c>
      <c r="I19" s="10" t="inlineStr">
        <is>
          <t>See cited dossier/report; issuer claims require primary-record verification where identified.</t>
        </is>
      </c>
    </row>
    <row r="20">
      <c r="C20" s="10" t="inlineStr">
        <is>
          <t>SRC-012</t>
        </is>
      </c>
      <c r="D20" s="10" t="inlineStr">
        <is>
          <t>Discovery</t>
        </is>
      </c>
      <c r="E20" s="10" t="inlineStr">
        <is>
          <t>Discovery universe</t>
        </is>
      </c>
      <c r="F20" s="10" t="inlineStr">
        <is>
          <t>/home/ubuntu/george_asia_peptide_due_diligence/discovery.md</t>
        </is>
      </c>
      <c r="G20" s="18" t="inlineStr">
        <is>
          <t>https://www.piramalpharmasolutions.com/specialized-offerings/peptides-api</t>
        </is>
      </c>
      <c r="H20" s="10" t="inlineStr">
        <is>
          <t>20 August 2026</t>
        </is>
      </c>
      <c r="I20" s="10" t="inlineStr">
        <is>
          <t>See cited dossier/report; issuer claims require primary-record verification where identified.</t>
        </is>
      </c>
    </row>
    <row r="21">
      <c r="C21" s="10" t="inlineStr">
        <is>
          <t>SRC-013</t>
        </is>
      </c>
      <c r="D21" s="10" t="inlineStr">
        <is>
          <t>Discovery</t>
        </is>
      </c>
      <c r="E21" s="10" t="inlineStr">
        <is>
          <t>Discovery universe</t>
        </is>
      </c>
      <c r="F21" s="10" t="inlineStr">
        <is>
          <t>/home/ubuntu/george_asia_peptide_due_diligence/discovery.md</t>
        </is>
      </c>
      <c r="G21" s="18" t="inlineStr">
        <is>
          <t>https://shilpapharma.com/peptide-cdmo-services/</t>
        </is>
      </c>
      <c r="H21" s="10" t="inlineStr">
        <is>
          <t>20 August 2026</t>
        </is>
      </c>
      <c r="I21" s="10" t="inlineStr">
        <is>
          <t>See cited dossier/report; issuer claims require primary-record verification where identified.</t>
        </is>
      </c>
    </row>
    <row r="22">
      <c r="C22" s="10" t="inlineStr">
        <is>
          <t>SRC-014</t>
        </is>
      </c>
      <c r="D22" s="10" t="inlineStr">
        <is>
          <t>Discovery</t>
        </is>
      </c>
      <c r="E22" s="10" t="inlineStr">
        <is>
          <t>Discovery universe</t>
        </is>
      </c>
      <c r="F22" s="10" t="inlineStr">
        <is>
          <t>/home/ubuntu/george_asia_peptide_due_diligence/discovery.md</t>
        </is>
      </c>
      <c r="G22" s="18" t="inlineStr">
        <is>
          <t>https://peptistar.com/en/company/message/</t>
        </is>
      </c>
      <c r="H22" s="10" t="inlineStr">
        <is>
          <t>20 August 2026</t>
        </is>
      </c>
      <c r="I22" s="10" t="inlineStr">
        <is>
          <t>See cited dossier/report; issuer claims require primary-record verification where identified.</t>
        </is>
      </c>
    </row>
    <row r="23">
      <c r="C23" s="10" t="inlineStr">
        <is>
          <t>SRC-015</t>
        </is>
      </c>
      <c r="D23" s="10" t="inlineStr">
        <is>
          <t>Discovery</t>
        </is>
      </c>
      <c r="E23" s="10" t="inlineStr">
        <is>
          <t>Discovery universe</t>
        </is>
      </c>
      <c r="F23" s="10" t="inlineStr">
        <is>
          <t>/home/ubuntu/george_asia_peptide_due_diligence/discovery.md</t>
        </is>
      </c>
      <c r="G23" s="18" t="inlineStr">
        <is>
          <t>https://www.amed.go.jp/en/news/release_20191206.html</t>
        </is>
      </c>
      <c r="H23" s="10" t="inlineStr">
        <is>
          <t>20 August 2026</t>
        </is>
      </c>
      <c r="I23" s="10" t="inlineStr">
        <is>
          <t>See cited dossier/report; issuer claims require primary-record verification where identified.</t>
        </is>
      </c>
    </row>
    <row r="24">
      <c r="C24" s="10" t="inlineStr">
        <is>
          <t>SRC-016</t>
        </is>
      </c>
      <c r="D24" s="10" t="inlineStr">
        <is>
          <t>Discovery</t>
        </is>
      </c>
      <c r="E24" s="10" t="inlineStr">
        <is>
          <t>Discovery universe</t>
        </is>
      </c>
      <c r="F24" s="10" t="inlineStr">
        <is>
          <t>/home/ubuntu/george_asia_peptide_due_diligence/discovery.md</t>
        </is>
      </c>
      <c r="G24" s="18" t="inlineStr">
        <is>
          <t>https://ajibio-pharma.ajinomoto.com/</t>
        </is>
      </c>
      <c r="H24" s="10" t="inlineStr">
        <is>
          <t>20 August 2026</t>
        </is>
      </c>
      <c r="I24" s="10" t="inlineStr">
        <is>
          <t>See cited dossier/report; issuer claims require primary-record verification where identified.</t>
        </is>
      </c>
    </row>
    <row r="25">
      <c r="C25" s="10" t="inlineStr">
        <is>
          <t>SRC-017</t>
        </is>
      </c>
      <c r="D25" s="10" t="inlineStr">
        <is>
          <t>Discovery</t>
        </is>
      </c>
      <c r="E25" s="10" t="inlineStr">
        <is>
          <t>Discovery universe</t>
        </is>
      </c>
      <c r="F25" s="10" t="inlineStr">
        <is>
          <t>/home/ubuntu/george_asia_peptide_due_diligence/discovery.md</t>
        </is>
      </c>
      <c r="G25" s="18" t="inlineStr">
        <is>
          <t>https://hlbpep.co.kr/eng/peptides/gmp.php</t>
        </is>
      </c>
      <c r="H25" s="10" t="inlineStr">
        <is>
          <t>20 August 2026</t>
        </is>
      </c>
      <c r="I25" s="10" t="inlineStr">
        <is>
          <t>See cited dossier/report; issuer claims require primary-record verification where identified.</t>
        </is>
      </c>
    </row>
    <row r="26">
      <c r="C26" s="10" t="inlineStr">
        <is>
          <t>SRC-018</t>
        </is>
      </c>
      <c r="D26" s="10" t="inlineStr">
        <is>
          <t>Discovery</t>
        </is>
      </c>
      <c r="E26" s="10" t="inlineStr">
        <is>
          <t>Discovery universe</t>
        </is>
      </c>
      <c r="F26" s="10" t="inlineStr">
        <is>
          <t>/home/ubuntu/george_asia_peptide_due_diligence/discovery.md</t>
        </is>
      </c>
      <c r="G26" s="18" t="inlineStr">
        <is>
          <t>https://www.scinopharm.com/solutions/SPTCMC/</t>
        </is>
      </c>
      <c r="H26" s="10" t="inlineStr">
        <is>
          <t>20 August 2026</t>
        </is>
      </c>
      <c r="I26" s="10" t="inlineStr">
        <is>
          <t>See cited dossier/report; issuer claims require primary-record verification where identified.</t>
        </is>
      </c>
    </row>
    <row r="27">
      <c r="C27" s="10" t="inlineStr">
        <is>
          <t>SRC-019</t>
        </is>
      </c>
      <c r="D27" s="10" t="inlineStr">
        <is>
          <t>Discovery</t>
        </is>
      </c>
      <c r="E27" s="10" t="inlineStr">
        <is>
          <t>Discovery universe</t>
        </is>
      </c>
      <c r="F27" s="10" t="inlineStr">
        <is>
          <t>/home/ubuntu/george_asia_peptide_due_diligence/discovery.md</t>
        </is>
      </c>
      <c r="G27" s="18" t="inlineStr">
        <is>
          <t>https://www.scinopharm.com/news-detail/113/</t>
        </is>
      </c>
      <c r="H27" s="10" t="inlineStr">
        <is>
          <t>20 August 2026</t>
        </is>
      </c>
      <c r="I27" s="10" t="inlineStr">
        <is>
          <t>See cited dossier/report; issuer claims require primary-record verification where identified.</t>
        </is>
      </c>
    </row>
    <row r="28">
      <c r="C28" s="10" t="inlineStr">
        <is>
          <t>SRC-020</t>
        </is>
      </c>
      <c r="D28" s="10" t="inlineStr">
        <is>
          <t>Discovery</t>
        </is>
      </c>
      <c r="E28" s="10" t="inlineStr">
        <is>
          <t>Discovery universe</t>
        </is>
      </c>
      <c r="F28" s="10" t="inlineStr">
        <is>
          <t>/home/ubuntu/george_asia_peptide_due_diligence/discovery.md</t>
        </is>
      </c>
      <c r="G28" s="18" t="inlineStr">
        <is>
          <t>https://www.sgs.com/en-us/news/2024/10/shanghai-health-science-lab-passes-us-fda-inspection</t>
        </is>
      </c>
      <c r="H28" s="10" t="inlineStr">
        <is>
          <t>20 August 2026</t>
        </is>
      </c>
      <c r="I28" s="10" t="inlineStr">
        <is>
          <t>See cited dossier/report; issuer claims require primary-record verification where identified.</t>
        </is>
      </c>
    </row>
    <row r="29">
      <c r="C29" s="10" t="inlineStr">
        <is>
          <t>SRC-021</t>
        </is>
      </c>
      <c r="D29" s="10" t="inlineStr">
        <is>
          <t>Discovery</t>
        </is>
      </c>
      <c r="E29" s="10" t="inlineStr">
        <is>
          <t>Discovery universe</t>
        </is>
      </c>
      <c r="F29" s="10" t="inlineStr">
        <is>
          <t>/home/ubuntu/george_asia_peptide_due_diligence/discovery.md</t>
        </is>
      </c>
      <c r="G29" s="18" t="inlineStr">
        <is>
          <t>https://www.sgsgroup.com.cn/en-cn/services/pharmaceutical-microbiology-testing</t>
        </is>
      </c>
      <c r="H29" s="10" t="inlineStr">
        <is>
          <t>20 August 2026</t>
        </is>
      </c>
      <c r="I29" s="10" t="inlineStr">
        <is>
          <t>See cited dossier/report; issuer claims require primary-record verification where identified.</t>
        </is>
      </c>
    </row>
    <row r="30">
      <c r="C30" s="10" t="inlineStr">
        <is>
          <t>SRC-022</t>
        </is>
      </c>
      <c r="D30" s="10" t="inlineStr">
        <is>
          <t>Discovery</t>
        </is>
      </c>
      <c r="E30" s="10" t="inlineStr">
        <is>
          <t>Discovery universe</t>
        </is>
      </c>
      <c r="F30" s="10" t="inlineStr">
        <is>
          <t>/home/ubuntu/george_asia_peptide_due_diligence/discovery.md</t>
        </is>
      </c>
      <c r="G30" s="18" t="inlineStr">
        <is>
          <t>https://location.eurofins.com/en/ele/eurofins-analytical-science-laboratories-inc/</t>
        </is>
      </c>
      <c r="H30" s="10" t="inlineStr">
        <is>
          <t>20 August 2026</t>
        </is>
      </c>
      <c r="I30" s="10" t="inlineStr">
        <is>
          <t>See cited dossier/report; issuer claims require primary-record verification where identified.</t>
        </is>
      </c>
    </row>
    <row r="31">
      <c r="C31" s="10" t="inlineStr">
        <is>
          <t>SRC-023</t>
        </is>
      </c>
      <c r="D31" s="10" t="inlineStr">
        <is>
          <t>Discovery</t>
        </is>
      </c>
      <c r="E31" s="10" t="inlineStr">
        <is>
          <t>Discovery universe</t>
        </is>
      </c>
      <c r="F31" s="10" t="inlineStr">
        <is>
          <t>/home/ubuntu/george_asia_peptide_due_diligence/discovery.md</t>
        </is>
      </c>
      <c r="G31" s="18" t="inlineStr">
        <is>
          <t>https://www.eurofins.com/en/media-centre/press-releases/2018-05-22/</t>
        </is>
      </c>
      <c r="H31" s="10" t="inlineStr">
        <is>
          <t>20 August 2026</t>
        </is>
      </c>
      <c r="I31" s="10" t="inlineStr">
        <is>
          <t>See cited dossier/report; issuer claims require primary-record verification where identified.</t>
        </is>
      </c>
    </row>
    <row r="32">
      <c r="C32" s="10" t="inlineStr">
        <is>
          <t>SRC-024</t>
        </is>
      </c>
      <c r="D32" s="10" t="inlineStr">
        <is>
          <t>Discovery</t>
        </is>
      </c>
      <c r="E32" s="10" t="inlineStr">
        <is>
          <t>Discovery universe</t>
        </is>
      </c>
      <c r="F32" s="10" t="inlineStr">
        <is>
          <t>/home/ubuntu/george_asia_peptide_due_diligence/discovery.md</t>
        </is>
      </c>
      <c r="G32" s="18" t="inlineStr">
        <is>
          <t>https://vimta.com/wp-content/uploads/2026/05/Latest-NABL-Certificate-2026.pdf</t>
        </is>
      </c>
      <c r="H32" s="10" t="inlineStr">
        <is>
          <t>20 August 2026</t>
        </is>
      </c>
      <c r="I32" s="10" t="inlineStr">
        <is>
          <t>See cited dossier/report; issuer claims require primary-record verification where identified.</t>
        </is>
      </c>
    </row>
    <row r="33">
      <c r="C33" s="10" t="inlineStr">
        <is>
          <t>SRC-025</t>
        </is>
      </c>
      <c r="D33" s="10" t="inlineStr">
        <is>
          <t>Discovery</t>
        </is>
      </c>
      <c r="E33" s="10" t="inlineStr">
        <is>
          <t>Discovery universe</t>
        </is>
      </c>
      <c r="F33" s="10" t="inlineStr">
        <is>
          <t>/home/ubuntu/george_asia_peptide_due_diligence/discovery.md</t>
        </is>
      </c>
      <c r="G33" s="18" t="inlineStr">
        <is>
          <t>https://vimta.com/wp-content/uploads/2026/05/DCA-Licence-Renewal.pdf</t>
        </is>
      </c>
      <c r="H33" s="10" t="inlineStr">
        <is>
          <t>20 August 2026</t>
        </is>
      </c>
      <c r="I33" s="10" t="inlineStr">
        <is>
          <t>See cited dossier/report; issuer claims require primary-record verification where identified.</t>
        </is>
      </c>
    </row>
    <row r="34">
      <c r="C34" s="10" t="inlineStr">
        <is>
          <t>SRC-026</t>
        </is>
      </c>
      <c r="D34" s="10" t="inlineStr">
        <is>
          <t>Discovery</t>
        </is>
      </c>
      <c r="E34" s="10" t="inlineStr">
        <is>
          <t>Discovery universe</t>
        </is>
      </c>
      <c r="F34" s="10" t="inlineStr">
        <is>
          <t>/home/ubuntu/george_asia_peptide_due_diligence/discovery.md</t>
        </is>
      </c>
      <c r="G34" s="18" t="inlineStr">
        <is>
          <t>https://vimta.com/about-us/accreditations/</t>
        </is>
      </c>
      <c r="H34" s="10" t="inlineStr">
        <is>
          <t>20 August 2026</t>
        </is>
      </c>
      <c r="I34" s="10" t="inlineStr">
        <is>
          <t>See cited dossier/report; issuer claims require primary-record verification where identified.</t>
        </is>
      </c>
    </row>
    <row r="35">
      <c r="C35" s="10" t="inlineStr">
        <is>
          <t>SRC-027</t>
        </is>
      </c>
      <c r="D35" s="10" t="inlineStr">
        <is>
          <t>Discovery</t>
        </is>
      </c>
      <c r="E35" s="10" t="inlineStr">
        <is>
          <t>Discovery universe</t>
        </is>
      </c>
      <c r="F35" s="10" t="inlineStr">
        <is>
          <t>/home/ubuntu/george_asia_peptide_due_diligence/discovery.md</t>
        </is>
      </c>
      <c r="G35" s="18" t="inlineStr">
        <is>
          <t>https://www.intertek.com/pharmaceutical/mumbai-india/</t>
        </is>
      </c>
      <c r="H35" s="10" t="inlineStr">
        <is>
          <t>20 August 2026</t>
        </is>
      </c>
      <c r="I35" s="10" t="inlineStr">
        <is>
          <t>See cited dossier/report; issuer claims require primary-record verification where identified.</t>
        </is>
      </c>
    </row>
    <row r="36">
      <c r="C36" s="10" t="inlineStr">
        <is>
          <t>SRC-028</t>
        </is>
      </c>
      <c r="D36" s="10" t="inlineStr">
        <is>
          <t>Discovery</t>
        </is>
      </c>
      <c r="E36" s="10" t="inlineStr">
        <is>
          <t>Discovery universe</t>
        </is>
      </c>
      <c r="F36" s="10" t="inlineStr">
        <is>
          <t>/home/ubuntu/george_asia_peptide_due_diligence/discovery.md</t>
        </is>
      </c>
      <c r="G36" s="18" t="inlineStr">
        <is>
          <t>https://nabl-india.org/nabl/file_download1.php?filename=202404180952-TC-5663-doc.pdf</t>
        </is>
      </c>
      <c r="H36" s="10" t="inlineStr">
        <is>
          <t>20 August 2026</t>
        </is>
      </c>
      <c r="I36" s="10" t="inlineStr">
        <is>
          <t>See cited dossier/report; issuer claims require primary-record verification where identified.</t>
        </is>
      </c>
    </row>
    <row r="37">
      <c r="C37" s="10" t="inlineStr">
        <is>
          <t>SRC-029</t>
        </is>
      </c>
      <c r="D37" s="10" t="inlineStr">
        <is>
          <t>Discovery</t>
        </is>
      </c>
      <c r="E37" s="10" t="inlineStr">
        <is>
          <t>Discovery universe</t>
        </is>
      </c>
      <c r="F37" s="10" t="inlineStr">
        <is>
          <t>/home/ubuntu/george_asia_peptide_due_diligence/discovery.md</t>
        </is>
      </c>
      <c r="G37" s="18" t="inlineStr">
        <is>
          <t>http://www.neulandlabs.com/en/about-us/our-facilities/peptide-manufacturing-facility-hyderabad</t>
        </is>
      </c>
      <c r="H37" s="10" t="inlineStr">
        <is>
          <t>20 August 2026</t>
        </is>
      </c>
      <c r="I37" s="10" t="inlineStr">
        <is>
          <t>See cited dossier/report; issuer claims require primary-record verification where identified.</t>
        </is>
      </c>
    </row>
    <row r="38">
      <c r="C38" s="10" t="inlineStr">
        <is>
          <t>SRC-030</t>
        </is>
      </c>
      <c r="D38" s="10" t="inlineStr">
        <is>
          <t>Discovery</t>
        </is>
      </c>
      <c r="E38" s="10" t="inlineStr">
        <is>
          <t>Discovery universe</t>
        </is>
      </c>
      <c r="F38" s="10" t="inlineStr">
        <is>
          <t>/home/ubuntu/george_asia_peptide_due_diligence/discovery.md</t>
        </is>
      </c>
      <c r="G38" s="18" t="inlineStr">
        <is>
          <t>http://www.peptron.com/ds3_4_1.html</t>
        </is>
      </c>
      <c r="H38" s="10" t="inlineStr">
        <is>
          <t>20 August 2026</t>
        </is>
      </c>
      <c r="I38" s="10" t="inlineStr">
        <is>
          <t>See cited dossier/report; issuer claims require primary-record verification where identified.</t>
        </is>
      </c>
    </row>
    <row r="39">
      <c r="C39" s="10" t="inlineStr">
        <is>
          <t>SRC-031</t>
        </is>
      </c>
      <c r="D39" s="10" t="inlineStr">
        <is>
          <t>Discovery</t>
        </is>
      </c>
      <c r="E39" s="10" t="inlineStr">
        <is>
          <t>Discovery universe</t>
        </is>
      </c>
      <c r="F39" s="10" t="inlineStr">
        <is>
          <t>/home/ubuntu/george_asia_peptide_due_diligence/discovery.md</t>
        </is>
      </c>
      <c r="G39" s="18" t="inlineStr">
        <is>
          <t>https://www.fda.gov/inspections-compliance-enforcement-and-criminal-investigations/warning-letters/auriga-research-pvt-ltd-730694-08122026</t>
        </is>
      </c>
      <c r="H39" s="10" t="inlineStr">
        <is>
          <t>20 August 2026</t>
        </is>
      </c>
      <c r="I39" s="10" t="inlineStr">
        <is>
          <t>See cited dossier/report; issuer claims require primary-record verification where identified.</t>
        </is>
      </c>
    </row>
    <row r="40">
      <c r="C40" s="10" t="inlineStr">
        <is>
          <t>SRC-032</t>
        </is>
      </c>
      <c r="D40" s="10" t="inlineStr">
        <is>
          <t>Manufacturer</t>
        </is>
      </c>
      <c r="E40" s="10" t="inlineStr">
        <is>
          <t>01-M01</t>
        </is>
      </c>
      <c r="F40" s="10" t="inlineStr">
        <is>
          <t>/home/ubuntu/george_asia_peptide_due_diligence/manufacturers/01-M01.md</t>
        </is>
      </c>
      <c r="G40" s="18" t="inlineStr">
        <is>
          <t>https://www.hkexnews.hk/listedco/listconews/sehk/2026/0323/2026032300516.pdf</t>
        </is>
      </c>
      <c r="H40" s="10" t="inlineStr">
        <is>
          <t>20 August 2026</t>
        </is>
      </c>
      <c r="I40" s="10" t="inlineStr">
        <is>
          <t>See cited dossier/report; issuer claims require primary-record verification where identified.</t>
        </is>
      </c>
    </row>
    <row r="41">
      <c r="C41" s="10" t="inlineStr">
        <is>
          <t>SRC-033</t>
        </is>
      </c>
      <c r="D41" s="10" t="inlineStr">
        <is>
          <t>Manufacturer</t>
        </is>
      </c>
      <c r="E41" s="10" t="inlineStr">
        <is>
          <t>01-M01</t>
        </is>
      </c>
      <c r="F41" s="10" t="inlineStr">
        <is>
          <t>/home/ubuntu/george_asia_peptide_due_diligence/manufacturers/01-M01.md</t>
        </is>
      </c>
      <c r="G41" s="18" t="inlineStr">
        <is>
          <t>https://tides.wuxiapptec.com/services-solutions/peptide/peptide-cmc/drug-product/</t>
        </is>
      </c>
      <c r="H41" s="10" t="inlineStr">
        <is>
          <t>20 August 2026</t>
        </is>
      </c>
      <c r="I41" s="10" t="inlineStr">
        <is>
          <t>See cited dossier/report; issuer claims require primary-record verification where identified.</t>
        </is>
      </c>
    </row>
    <row r="42">
      <c r="C42" s="10" t="inlineStr">
        <is>
          <t>SRC-034</t>
        </is>
      </c>
      <c r="D42" s="10" t="inlineStr">
        <is>
          <t>Manufacturer</t>
        </is>
      </c>
      <c r="E42" s="10" t="inlineStr">
        <is>
          <t>01-M01</t>
        </is>
      </c>
      <c r="F42" s="10" t="inlineStr">
        <is>
          <t>/home/ubuntu/george_asia_peptide_due_diligence/manufacturers/01-M01.md</t>
        </is>
      </c>
      <c r="G42" s="18" t="inlineStr">
        <is>
          <t>https://sta.wuxiapptec.com/wuxi-apptecs-changzhou-and-taixing-api-sites-successfully-pass-fda-inspections/</t>
        </is>
      </c>
      <c r="H42" s="10" t="inlineStr">
        <is>
          <t>20 August 2026</t>
        </is>
      </c>
      <c r="I42" s="10" t="inlineStr">
        <is>
          <t>See cited dossier/report; issuer claims require primary-record verification where identified.</t>
        </is>
      </c>
    </row>
    <row r="43">
      <c r="C43" s="10" t="inlineStr">
        <is>
          <t>SRC-035</t>
        </is>
      </c>
      <c r="D43" s="10" t="inlineStr">
        <is>
          <t>Manufacturer</t>
        </is>
      </c>
      <c r="E43" s="10" t="inlineStr">
        <is>
          <t>01-M01</t>
        </is>
      </c>
      <c r="F43" s="10" t="inlineStr">
        <is>
          <t>/home/ubuntu/george_asia_peptide_due_diligence/manufacturers/01-M01.md</t>
        </is>
      </c>
      <c r="G43" s="18" t="inlineStr">
        <is>
          <t>https://tides.wuxiapptec.com/facility/changzhou-china/</t>
        </is>
      </c>
      <c r="H43" s="10" t="inlineStr">
        <is>
          <t>20 August 2026</t>
        </is>
      </c>
      <c r="I43" s="10" t="inlineStr">
        <is>
          <t>See cited dossier/report; issuer claims require primary-record verification where identified.</t>
        </is>
      </c>
    </row>
    <row r="44">
      <c r="C44" s="10" t="inlineStr">
        <is>
          <t>SRC-036</t>
        </is>
      </c>
      <c r="D44" s="10" t="inlineStr">
        <is>
          <t>Manufacturer</t>
        </is>
      </c>
      <c r="E44" s="10" t="inlineStr">
        <is>
          <t>01-M01</t>
        </is>
      </c>
      <c r="F44" s="10" t="inlineStr">
        <is>
          <t>/home/ubuntu/george_asia_peptide_due_diligence/manufacturers/01-M01.md</t>
        </is>
      </c>
      <c r="G44" s="18" t="inlineStr">
        <is>
          <t>https://sta.wuxiapptec.com/wuxi-sta-successfully-passes-four-pre-approval-inspections-by-south-koreas-ministry-of-food-and-drug-safety-at-three-manufacturing-sites-in-china/</t>
        </is>
      </c>
      <c r="H44" s="10" t="inlineStr">
        <is>
          <t>20 August 2026</t>
        </is>
      </c>
      <c r="I44" s="10" t="inlineStr">
        <is>
          <t>See cited dossier/report; issuer claims require primary-record verification where identified.</t>
        </is>
      </c>
    </row>
    <row r="45">
      <c r="C45" s="10" t="inlineStr">
        <is>
          <t>SRC-037</t>
        </is>
      </c>
      <c r="D45" s="10" t="inlineStr">
        <is>
          <t>Manufacturer</t>
        </is>
      </c>
      <c r="E45" s="10" t="inlineStr">
        <is>
          <t>01-M01</t>
        </is>
      </c>
      <c r="F45" s="10" t="inlineStr">
        <is>
          <t>/home/ubuntu/george_asia_peptide_due_diligence/manufacturers/01-M01.md</t>
        </is>
      </c>
      <c r="G45" s="18" t="inlineStr">
        <is>
          <t>https://www.fda.gov/drugs/guidance-compliance-regulatory-information/wuxi-sta-pharmaceutical-co-ltd-3032023</t>
        </is>
      </c>
      <c r="H45" s="10" t="inlineStr">
        <is>
          <t>20 August 2026</t>
        </is>
      </c>
      <c r="I45" s="10" t="inlineStr">
        <is>
          <t>See cited dossier/report; issuer claims require primary-record verification where identified.</t>
        </is>
      </c>
    </row>
    <row r="46">
      <c r="C46" s="10" t="inlineStr">
        <is>
          <t>SRC-038</t>
        </is>
      </c>
      <c r="D46" s="10" t="inlineStr">
        <is>
          <t>Manufacturer</t>
        </is>
      </c>
      <c r="E46" s="10" t="inlineStr">
        <is>
          <t>01-M01</t>
        </is>
      </c>
      <c r="F46" s="10" t="inlineStr">
        <is>
          <t>/home/ubuntu/george_asia_peptide_due_diligence/manufacturers/01-M01.md</t>
        </is>
      </c>
      <c r="G46" s="18" t="inlineStr">
        <is>
          <t>https://sta.wuxiapptec.com/wuxi-sta-passes-the-first-ema-drug-product-pre-approval-inspection-at-its-wuxi-city-site/</t>
        </is>
      </c>
      <c r="H46" s="10" t="inlineStr">
        <is>
          <t>20 August 2026</t>
        </is>
      </c>
      <c r="I46" s="10" t="inlineStr">
        <is>
          <t>See cited dossier/report; issuer claims require primary-record verification where identified.</t>
        </is>
      </c>
    </row>
    <row r="47">
      <c r="C47" s="10" t="inlineStr">
        <is>
          <t>SRC-039</t>
        </is>
      </c>
      <c r="D47" s="10" t="inlineStr">
        <is>
          <t>Manufacturer</t>
        </is>
      </c>
      <c r="E47" s="10" t="inlineStr">
        <is>
          <t>01-M01</t>
        </is>
      </c>
      <c r="F47" s="10" t="inlineStr">
        <is>
          <t>/home/ubuntu/george_asia_peptide_due_diligence/manufacturers/01-M01.md</t>
        </is>
      </c>
      <c r="G47" s="18" t="inlineStr">
        <is>
          <t>https://tides.wuxiapptec.com/services-solutions/peptide/peptide-cmc/api/</t>
        </is>
      </c>
      <c r="H47" s="10" t="inlineStr">
        <is>
          <t>20 August 2026</t>
        </is>
      </c>
      <c r="I47" s="10" t="inlineStr">
        <is>
          <t>See cited dossier/report; issuer claims require primary-record verification where identified.</t>
        </is>
      </c>
    </row>
    <row r="48">
      <c r="C48" s="10" t="inlineStr">
        <is>
          <t>SRC-040</t>
        </is>
      </c>
      <c r="D48" s="10" t="inlineStr">
        <is>
          <t>Manufacturer</t>
        </is>
      </c>
      <c r="E48" s="10" t="inlineStr">
        <is>
          <t>01-M01</t>
        </is>
      </c>
      <c r="F48" s="10" t="inlineStr">
        <is>
          <t>/home/ubuntu/george_asia_peptide_due_diligence/manufacturers/01-M01.md</t>
        </is>
      </c>
      <c r="G48" s="18" t="inlineStr">
        <is>
          <t>https://tides.wuxiapptec.com/wuxi-apptec-triples-peptide-manufacturing-capacity-and-launches-the-new-taixing-api-manufacturing-site/</t>
        </is>
      </c>
      <c r="H48" s="10" t="inlineStr">
        <is>
          <t>20 August 2026</t>
        </is>
      </c>
      <c r="I48" s="10" t="inlineStr">
        <is>
          <t>See cited dossier/report; issuer claims require primary-record verification where identified.</t>
        </is>
      </c>
    </row>
    <row r="49">
      <c r="C49" s="10" t="inlineStr">
        <is>
          <t>SRC-041</t>
        </is>
      </c>
      <c r="D49" s="10" t="inlineStr">
        <is>
          <t>Manufacturer</t>
        </is>
      </c>
      <c r="E49" s="10" t="inlineStr">
        <is>
          <t>01-M01</t>
        </is>
      </c>
      <c r="F49" s="10" t="inlineStr">
        <is>
          <t>/home/ubuntu/george_asia_peptide_due_diligence/manufacturers/01-M01.md</t>
        </is>
      </c>
      <c r="G49" s="18" t="inlineStr">
        <is>
          <t>https://www.federalregister.gov/documents/2026/06/10/2026-11571/notice-of-availability-of-designation-of-chinese-military-companies</t>
        </is>
      </c>
      <c r="H49" s="10" t="inlineStr">
        <is>
          <t>20 August 2026</t>
        </is>
      </c>
      <c r="I49" s="10" t="inlineStr">
        <is>
          <t>See cited dossier/report; issuer claims require primary-record verification where identified.</t>
        </is>
      </c>
    </row>
    <row r="50">
      <c r="C50" s="10" t="inlineStr">
        <is>
          <t>SRC-042</t>
        </is>
      </c>
      <c r="D50" s="10" t="inlineStr">
        <is>
          <t>Manufacturer</t>
        </is>
      </c>
      <c r="E50" s="10" t="inlineStr">
        <is>
          <t>01-M01</t>
        </is>
      </c>
      <c r="F50" s="10" t="inlineStr">
        <is>
          <t>/home/ubuntu/george_asia_peptide_due_diligence/manufacturers/01-M01.md</t>
        </is>
      </c>
      <c r="G50" s="18" t="inlineStr">
        <is>
          <t>https://law.justia.com/cases/federal/district-courts/district-of-columbia/dcdce/1:2026cv02069/293402/25/</t>
        </is>
      </c>
      <c r="H50" s="10" t="inlineStr">
        <is>
          <t>20 August 2026</t>
        </is>
      </c>
      <c r="I50" s="10" t="inlineStr">
        <is>
          <t>See cited dossier/report; issuer claims require primary-record verification where identified.</t>
        </is>
      </c>
    </row>
    <row r="51">
      <c r="C51" s="10" t="inlineStr">
        <is>
          <t>SRC-043</t>
        </is>
      </c>
      <c r="D51" s="10" t="inlineStr">
        <is>
          <t>Manufacturer</t>
        </is>
      </c>
      <c r="E51" s="10" t="inlineStr">
        <is>
          <t>01-M01</t>
        </is>
      </c>
      <c r="F51" s="10" t="inlineStr">
        <is>
          <t>/home/ubuntu/george_asia_peptide_due_diligence/manufacturers/01-M01.md</t>
        </is>
      </c>
      <c r="G51" s="18" t="inlineStr">
        <is>
          <t>https://www.wuxiapptec.com/news/wuxi-news/wuxi-apptecs-sta-subsidiary-opens-new-campus-in-changzhou</t>
        </is>
      </c>
      <c r="H51" s="10" t="inlineStr">
        <is>
          <t>20 August 2026</t>
        </is>
      </c>
      <c r="I51" s="10" t="inlineStr">
        <is>
          <t>See cited dossier/report; issuer claims require primary-record verification where identified.</t>
        </is>
      </c>
    </row>
    <row r="52">
      <c r="C52" s="10" t="inlineStr">
        <is>
          <t>SRC-044</t>
        </is>
      </c>
      <c r="D52" s="10" t="inlineStr">
        <is>
          <t>Manufacturer</t>
        </is>
      </c>
      <c r="E52" s="10" t="inlineStr">
        <is>
          <t>01-M01</t>
        </is>
      </c>
      <c r="F52" s="10" t="inlineStr">
        <is>
          <t>/home/ubuntu/george_asia_peptide_due_diligence/manufacturers/01-M01.md</t>
        </is>
      </c>
      <c r="G52" s="18" t="inlineStr">
        <is>
          <t>https://job.lzu.edu.cn/html/22/article/2021/26785.html</t>
        </is>
      </c>
      <c r="H52" s="10" t="inlineStr">
        <is>
          <t>20 August 2026</t>
        </is>
      </c>
      <c r="I52" s="10" t="inlineStr">
        <is>
          <t>See cited dossier/report; issuer claims require primary-record verification where identified.</t>
        </is>
      </c>
    </row>
    <row r="53">
      <c r="C53" s="10" t="inlineStr">
        <is>
          <t>SRC-045</t>
        </is>
      </c>
      <c r="D53" s="10" t="inlineStr">
        <is>
          <t>Manufacturer</t>
        </is>
      </c>
      <c r="E53" s="10" t="inlineStr">
        <is>
          <t>01-M01</t>
        </is>
      </c>
      <c r="F53" s="10" t="inlineStr">
        <is>
          <t>/home/ubuntu/george_asia_peptide_due_diligence/manufacturers/01-M01.md</t>
        </is>
      </c>
      <c r="G53" s="18" t="inlineStr">
        <is>
          <t>https://www.taixing.gov.cn/zwgk/xxgk/qt/art/2026/art_36ffc717d971456e810a5c5f09c3cab5.html</t>
        </is>
      </c>
      <c r="H53" s="10" t="inlineStr">
        <is>
          <t>20 August 2026</t>
        </is>
      </c>
      <c r="I53" s="10" t="inlineStr">
        <is>
          <t>See cited dossier/report; issuer claims require primary-record verification where identified.</t>
        </is>
      </c>
    </row>
    <row r="54">
      <c r="C54" s="10" t="inlineStr">
        <is>
          <t>SRC-046</t>
        </is>
      </c>
      <c r="D54" s="10" t="inlineStr">
        <is>
          <t>Manufacturer</t>
        </is>
      </c>
      <c r="E54" s="10" t="inlineStr">
        <is>
          <t>01-M01</t>
        </is>
      </c>
      <c r="F54" s="10" t="inlineStr">
        <is>
          <t>/home/ubuntu/george_asia_peptide_due_diligence/manufacturers/01-M01.md</t>
        </is>
      </c>
      <c r="G54" s="18" t="inlineStr">
        <is>
          <t>https://www.fda.gov/inspections-compliance-enforcement-and-criminal-investigations/inspection-classification-database</t>
        </is>
      </c>
      <c r="H54" s="10" t="inlineStr">
        <is>
          <t>20 August 2026</t>
        </is>
      </c>
      <c r="I54" s="10" t="inlineStr">
        <is>
          <t>See cited dossier/report; issuer claims require primary-record verification where identified.</t>
        </is>
      </c>
    </row>
    <row r="55">
      <c r="C55" s="10" t="inlineStr">
        <is>
          <t>SRC-047</t>
        </is>
      </c>
      <c r="D55" s="10" t="inlineStr">
        <is>
          <t>Manufacturer</t>
        </is>
      </c>
      <c r="E55" s="10" t="inlineStr">
        <is>
          <t>01-M01</t>
        </is>
      </c>
      <c r="F55" s="10" t="inlineStr">
        <is>
          <t>/home/ubuntu/george_asia_peptide_due_diligence/manufacturers/01-M01.md</t>
        </is>
      </c>
      <c r="G55" s="18" t="inlineStr">
        <is>
          <t>https://tides.wuxiapptec.com/services-solutions/peptide/peptide-cmc/analytical/</t>
        </is>
      </c>
      <c r="H55" s="10" t="inlineStr">
        <is>
          <t>20 August 2026</t>
        </is>
      </c>
      <c r="I55" s="10" t="inlineStr">
        <is>
          <t>See cited dossier/report; issuer claims require primary-record verification where identified.</t>
        </is>
      </c>
    </row>
    <row r="56">
      <c r="C56" s="10" t="inlineStr">
        <is>
          <t>SRC-048</t>
        </is>
      </c>
      <c r="D56" s="10" t="inlineStr">
        <is>
          <t>Manufacturer</t>
        </is>
      </c>
      <c r="E56" s="10" t="inlineStr">
        <is>
          <t>01-M01</t>
        </is>
      </c>
      <c r="F56" s="10" t="inlineStr">
        <is>
          <t>/home/ubuntu/george_asia_peptide_due_diligence/manufacturers/01-M01.md</t>
        </is>
      </c>
      <c r="G56" s="18" t="inlineStr">
        <is>
          <t>https://officialsite-static.wuxiapptec.com/upload/ANNOUNCEMENT_FOR_PRELIMINARY_INJUNCTION_2e0a0bc090.pdf</t>
        </is>
      </c>
      <c r="H56" s="10" t="inlineStr">
        <is>
          <t>20 August 2026</t>
        </is>
      </c>
      <c r="I56" s="10" t="inlineStr">
        <is>
          <t>See cited dossier/report; issuer claims require primary-record verification where identified.</t>
        </is>
      </c>
    </row>
    <row r="57">
      <c r="C57" s="10" t="inlineStr">
        <is>
          <t>SRC-049</t>
        </is>
      </c>
      <c r="D57" s="10" t="inlineStr">
        <is>
          <t>Manufacturer</t>
        </is>
      </c>
      <c r="E57" s="10" t="inlineStr">
        <is>
          <t>01-M01</t>
        </is>
      </c>
      <c r="F57" s="10" t="inlineStr">
        <is>
          <t>/home/ubuntu/george_asia_peptide_due_diligence/manufacturers/01-M01.md</t>
        </is>
      </c>
      <c r="G57" s="18" t="inlineStr">
        <is>
          <t>https://tides.wuxiapptec.com/facility/taixing-china/</t>
        </is>
      </c>
      <c r="H57" s="10" t="inlineStr">
        <is>
          <t>20 August 2026</t>
        </is>
      </c>
      <c r="I57" s="10" t="inlineStr">
        <is>
          <t>See cited dossier/report; issuer claims require primary-record verification where identified.</t>
        </is>
      </c>
    </row>
    <row r="58">
      <c r="C58" s="10" t="inlineStr">
        <is>
          <t>SRC-050</t>
        </is>
      </c>
      <c r="D58" s="10" t="inlineStr">
        <is>
          <t>Manufacturer</t>
        </is>
      </c>
      <c r="E58" s="10" t="inlineStr">
        <is>
          <t>01-M01</t>
        </is>
      </c>
      <c r="F58" s="10" t="inlineStr">
        <is>
          <t>/home/ubuntu/george_asia_peptide_due_diligence/manufacturers/01-M01.md</t>
        </is>
      </c>
      <c r="G58" s="18" t="inlineStr">
        <is>
          <t>https://tides.wuxiapptec.com/facility/wuxi-city-china/</t>
        </is>
      </c>
      <c r="H58" s="10" t="inlineStr">
        <is>
          <t>20 August 2026</t>
        </is>
      </c>
      <c r="I58" s="10" t="inlineStr">
        <is>
          <t>See cited dossier/report; issuer claims require primary-record verification where identified.</t>
        </is>
      </c>
    </row>
    <row r="59">
      <c r="C59" s="10" t="inlineStr">
        <is>
          <t>SRC-051</t>
        </is>
      </c>
      <c r="D59" s="10" t="inlineStr">
        <is>
          <t>Manufacturer</t>
        </is>
      </c>
      <c r="E59" s="10" t="inlineStr">
        <is>
          <t>02-M02</t>
        </is>
      </c>
      <c r="F59" s="10" t="inlineStr">
        <is>
          <t>/home/ubuntu/george_asia_peptide_due_diligence/manufacturers/02-M02.md</t>
        </is>
      </c>
      <c r="G59" s="18" t="inlineStr">
        <is>
          <t>http://static.cninfo.com.cn/finalpage/2026-04-30/1225262826.PDF</t>
        </is>
      </c>
      <c r="H59" s="10" t="inlineStr">
        <is>
          <t>20 August 2026</t>
        </is>
      </c>
      <c r="I59" s="10" t="inlineStr">
        <is>
          <t>See cited dossier/report; issuer claims require primary-record verification where identified.</t>
        </is>
      </c>
    </row>
    <row r="60">
      <c r="C60" s="10" t="inlineStr">
        <is>
          <t>SRC-052</t>
        </is>
      </c>
      <c r="D60" s="10" t="inlineStr">
        <is>
          <t>Manufacturer</t>
        </is>
      </c>
      <c r="E60" s="10" t="inlineStr">
        <is>
          <t>02-M02</t>
        </is>
      </c>
      <c r="F60" s="10" t="inlineStr">
        <is>
          <t>/home/ubuntu/george_asia_peptide_due_diligence/manufacturers/02-M02.md</t>
        </is>
      </c>
      <c r="G60" s="18" t="inlineStr">
        <is>
          <t>http://star.sse.com.cn/star/en/marketdata/snapshot/c/5547483.shtml</t>
        </is>
      </c>
      <c r="H60" s="10" t="inlineStr">
        <is>
          <t>20 August 2026</t>
        </is>
      </c>
      <c r="I60" s="10" t="inlineStr">
        <is>
          <t>See cited dossier/report; issuer claims require primary-record verification where identified.</t>
        </is>
      </c>
    </row>
    <row r="61">
      <c r="C61" s="10" t="inlineStr">
        <is>
          <t>SRC-053</t>
        </is>
      </c>
      <c r="D61" s="10" t="inlineStr">
        <is>
          <t>Manufacturer</t>
        </is>
      </c>
      <c r="E61" s="10" t="inlineStr">
        <is>
          <t>02-M02</t>
        </is>
      </c>
      <c r="F61" s="10" t="inlineStr">
        <is>
          <t>/home/ubuntu/george_asia_peptide_due_diligence/manufacturers/02-M02.md</t>
        </is>
      </c>
      <c r="G61" s="18" t="inlineStr">
        <is>
          <t>https://www.accessdata.fda.gov/scripts/SDA/sdDetailNavigation.cfm?sd=srolist&amp;id=587C873A8EF03E9EE06346F0E10A144F&amp;rownum=1997</t>
        </is>
      </c>
      <c r="H61" s="10" t="inlineStr">
        <is>
          <t>20 August 2026</t>
        </is>
      </c>
      <c r="I61" s="10" t="inlineStr">
        <is>
          <t>See cited dossier/report; issuer claims require primary-record verification where identified.</t>
        </is>
      </c>
    </row>
    <row r="62">
      <c r="C62" s="10" t="inlineStr">
        <is>
          <t>SRC-054</t>
        </is>
      </c>
      <c r="D62" s="10" t="inlineStr">
        <is>
          <t>Manufacturer</t>
        </is>
      </c>
      <c r="E62" s="10" t="inlineStr">
        <is>
          <t>02-M02</t>
        </is>
      </c>
      <c r="F62" s="10" t="inlineStr">
        <is>
          <t>/home/ubuntu/george_asia_peptide_due_diligence/manufacturers/02-M02.md</t>
        </is>
      </c>
      <c r="G62" s="18" t="inlineStr">
        <is>
          <t>https://www.allsino.com/en/index.html</t>
        </is>
      </c>
      <c r="H62" s="10" t="inlineStr">
        <is>
          <t>20 August 2026</t>
        </is>
      </c>
      <c r="I62" s="10" t="inlineStr">
        <is>
          <t>See cited dossier/report; issuer claims require primary-record verification where identified.</t>
        </is>
      </c>
    </row>
    <row r="63">
      <c r="C63" s="10" t="inlineStr">
        <is>
          <t>SRC-055</t>
        </is>
      </c>
      <c r="D63" s="10" t="inlineStr">
        <is>
          <t>Manufacturer</t>
        </is>
      </c>
      <c r="E63" s="10" t="inlineStr">
        <is>
          <t>02-M02</t>
        </is>
      </c>
      <c r="F63" s="10" t="inlineStr">
        <is>
          <t>/home/ubuntu/george_asia_peptide_due_diligence/manufacturers/02-M02.md</t>
        </is>
      </c>
      <c r="G63" s="18" t="inlineStr">
        <is>
          <t>https://www.sinopep.com/cdmo-services/formulation/</t>
        </is>
      </c>
      <c r="H63" s="10" t="inlineStr">
        <is>
          <t>20 August 2026</t>
        </is>
      </c>
      <c r="I63" s="10" t="inlineStr">
        <is>
          <t>See cited dossier/report; issuer claims require primary-record verification where identified.</t>
        </is>
      </c>
    </row>
    <row r="64">
      <c r="C64" s="10" t="inlineStr">
        <is>
          <t>SRC-056</t>
        </is>
      </c>
      <c r="D64" s="10" t="inlineStr">
        <is>
          <t>Manufacturer</t>
        </is>
      </c>
      <c r="E64" s="10" t="inlineStr">
        <is>
          <t>02-M02</t>
        </is>
      </c>
      <c r="F64" s="10" t="inlineStr">
        <is>
          <t>/home/ubuntu/george_asia_peptide_due_diligence/manufacturers/02-M02.md</t>
        </is>
      </c>
      <c r="G64" s="18" t="inlineStr">
        <is>
          <t>https://www.fda.gov/media/85138/download</t>
        </is>
      </c>
      <c r="H64" s="10" t="inlineStr">
        <is>
          <t>20 August 2026</t>
        </is>
      </c>
      <c r="I64" s="10" t="inlineStr">
        <is>
          <t>See cited dossier/report; issuer claims require primary-record verification where identified.</t>
        </is>
      </c>
    </row>
    <row r="65">
      <c r="C65" s="10" t="inlineStr">
        <is>
          <t>SRC-057</t>
        </is>
      </c>
      <c r="D65" s="10" t="inlineStr">
        <is>
          <t>Manufacturer</t>
        </is>
      </c>
      <c r="E65" s="10" t="inlineStr">
        <is>
          <t>02-M02</t>
        </is>
      </c>
      <c r="F65" s="10" t="inlineStr">
        <is>
          <t>/home/ubuntu/george_asia_peptide_due_diligence/manufacturers/02-M02.md</t>
        </is>
      </c>
      <c r="G65" s="18" t="inlineStr">
        <is>
          <t>https://www.sinopep.com/cdmo-services/regulatory-affairs/</t>
        </is>
      </c>
      <c r="H65" s="10" t="inlineStr">
        <is>
          <t>20 August 2026</t>
        </is>
      </c>
      <c r="I65" s="10" t="inlineStr">
        <is>
          <t>See cited dossier/report; issuer claims require primary-record verification where identified.</t>
        </is>
      </c>
    </row>
    <row r="66">
      <c r="C66" s="10" t="inlineStr">
        <is>
          <t>SRC-058</t>
        </is>
      </c>
      <c r="D66" s="10" t="inlineStr">
        <is>
          <t>Manufacturer</t>
        </is>
      </c>
      <c r="E66" s="10" t="inlineStr">
        <is>
          <t>02-M02</t>
        </is>
      </c>
      <c r="F66" s="10" t="inlineStr">
        <is>
          <t>/home/ubuntu/george_asia_peptide_due_diligence/manufacturers/02-M02.md</t>
        </is>
      </c>
      <c r="G66" s="18" t="inlineStr">
        <is>
          <t>https://www.csrc.gov.cn/csrc/c101928/c7603410/content.shtml</t>
        </is>
      </c>
      <c r="H66" s="10" t="inlineStr">
        <is>
          <t>20 August 2026</t>
        </is>
      </c>
      <c r="I66" s="10" t="inlineStr">
        <is>
          <t>See cited dossier/report; issuer claims require primary-record verification where identified.</t>
        </is>
      </c>
    </row>
    <row r="67">
      <c r="C67" s="10" t="inlineStr">
        <is>
          <t>SRC-059</t>
        </is>
      </c>
      <c r="D67" s="10" t="inlineStr">
        <is>
          <t>Manufacturer</t>
        </is>
      </c>
      <c r="E67" s="10" t="inlineStr">
        <is>
          <t>02-M02</t>
        </is>
      </c>
      <c r="F67" s="10" t="inlineStr">
        <is>
          <t>/home/ubuntu/george_asia_peptide_due_diligence/manufacturers/02-M02.md</t>
        </is>
      </c>
      <c r="G67" s="18" t="inlineStr">
        <is>
          <t>https://www.medtideinc.com/tc/CompanyNews/info.aspx?itemid=318</t>
        </is>
      </c>
      <c r="H67" s="10" t="inlineStr">
        <is>
          <t>20 August 2026</t>
        </is>
      </c>
      <c r="I67" s="10" t="inlineStr">
        <is>
          <t>See cited dossier/report; issuer claims require primary-record verification where identified.</t>
        </is>
      </c>
    </row>
    <row r="68">
      <c r="C68" s="10" t="inlineStr">
        <is>
          <t>SRC-060</t>
        </is>
      </c>
      <c r="D68" s="10" t="inlineStr">
        <is>
          <t>Manufacturer</t>
        </is>
      </c>
      <c r="E68" s="10" t="inlineStr">
        <is>
          <t>02-M02</t>
        </is>
      </c>
      <c r="F68" s="10" t="inlineStr">
        <is>
          <t>/home/ubuntu/george_asia_peptide_due_diligence/manufacturers/02-M02.md</t>
        </is>
      </c>
      <c r="G68" s="18" t="inlineStr">
        <is>
          <t>https://www.medtideinc.com/tc/companynews/info.aspx?itemid=319</t>
        </is>
      </c>
      <c r="H68" s="10" t="inlineStr">
        <is>
          <t>20 August 2026</t>
        </is>
      </c>
      <c r="I68" s="10" t="inlineStr">
        <is>
          <t>See cited dossier/report; issuer claims require primary-record verification where identified.</t>
        </is>
      </c>
    </row>
    <row r="69">
      <c r="C69" s="10" t="inlineStr">
        <is>
          <t>SRC-061</t>
        </is>
      </c>
      <c r="D69" s="10" t="inlineStr">
        <is>
          <t>Manufacturer</t>
        </is>
      </c>
      <c r="E69" s="10" t="inlineStr">
        <is>
          <t>02-M02</t>
        </is>
      </c>
      <c r="F69" s="10" t="inlineStr">
        <is>
          <t>/home/ubuntu/george_asia_peptide_due_diligence/manufacturers/02-M02.md</t>
        </is>
      </c>
      <c r="G69" s="18" t="inlineStr">
        <is>
          <t>http://www.csrc.gov.cn/csrc/c100090/c1519459/1519459/files/%E5%8F%91%E8%A1%8C%E4%BA%BA%E5%8F%8A%E4%BF%9D%E8%8D%90%E6%9C%BA%E6%9E%84%E5%85%B3%E4%BA%8E%E5%8F%91%E8%A1%8C%E6%B3%A8%E5%86%8C%E7%8E%AF%E8%8A%82%E5%8F%8D%E9%A6%88%E6%84%8F%E8%A7%81%E8%90%BD%E5%AE%9E%E5%87%BD%E7%9A%84%E5%9B%9E%E5%A4%8D.pdf</t>
        </is>
      </c>
      <c r="H69" s="10" t="inlineStr">
        <is>
          <t>20 August 2026</t>
        </is>
      </c>
      <c r="I69" s="10" t="inlineStr">
        <is>
          <t>See cited dossier/report; issuer claims require primary-record verification where identified.</t>
        </is>
      </c>
    </row>
    <row r="70">
      <c r="C70" s="10" t="inlineStr">
        <is>
          <t>SRC-062</t>
        </is>
      </c>
      <c r="D70" s="10" t="inlineStr">
        <is>
          <t>Manufacturer</t>
        </is>
      </c>
      <c r="E70" s="10" t="inlineStr">
        <is>
          <t>02-M02</t>
        </is>
      </c>
      <c r="F70" s="10" t="inlineStr">
        <is>
          <t>/home/ubuntu/george_asia_peptide_due_diligence/manufacturers/02-M02.md</t>
        </is>
      </c>
      <c r="G70" s="18" t="inlineStr">
        <is>
          <t>https://www.sinopep.com/cdmo-services/capacity/</t>
        </is>
      </c>
      <c r="H70" s="10" t="inlineStr">
        <is>
          <t>20 August 2026</t>
        </is>
      </c>
      <c r="I70" s="10" t="inlineStr">
        <is>
          <t>See cited dossier/report; issuer claims require primary-record verification where identified.</t>
        </is>
      </c>
    </row>
    <row r="71">
      <c r="C71" s="10" t="inlineStr">
        <is>
          <t>SRC-063</t>
        </is>
      </c>
      <c r="D71" s="10" t="inlineStr">
        <is>
          <t>Manufacturer</t>
        </is>
      </c>
      <c r="E71" s="10" t="inlineStr">
        <is>
          <t>02-M02</t>
        </is>
      </c>
      <c r="F71" s="10" t="inlineStr">
        <is>
          <t>/home/ubuntu/george_asia_peptide_due_diligence/manufacturers/02-M02.md</t>
        </is>
      </c>
      <c r="G71" s="18" t="inlineStr">
        <is>
          <t>https://www.sinopep.com/frequently-asked-questions/</t>
        </is>
      </c>
      <c r="H71" s="10" t="inlineStr">
        <is>
          <t>20 August 2026</t>
        </is>
      </c>
      <c r="I71" s="10" t="inlineStr">
        <is>
          <t>See cited dossier/report; issuer claims require primary-record verification where identified.</t>
        </is>
      </c>
    </row>
    <row r="72">
      <c r="C72" s="10" t="inlineStr">
        <is>
          <t>SRC-064</t>
        </is>
      </c>
      <c r="D72" s="10" t="inlineStr">
        <is>
          <t>Manufacturer</t>
        </is>
      </c>
      <c r="E72" s="10" t="inlineStr">
        <is>
          <t>02-M02</t>
        </is>
      </c>
      <c r="F72" s="10" t="inlineStr">
        <is>
          <t>/home/ubuntu/george_asia_peptide_due_diligence/manufacturers/02-M02.md</t>
        </is>
      </c>
      <c r="G72" s="18" t="inlineStr">
        <is>
          <t>https://www.pmda.go.jp/files/000240884.xlsx</t>
        </is>
      </c>
      <c r="H72" s="10" t="inlineStr">
        <is>
          <t>20 August 2026</t>
        </is>
      </c>
      <c r="I72" s="10" t="inlineStr">
        <is>
          <t>See cited dossier/report; issuer claims require primary-record verification where identified.</t>
        </is>
      </c>
    </row>
    <row r="73">
      <c r="C73" s="10" t="inlineStr">
        <is>
          <t>SRC-065</t>
        </is>
      </c>
      <c r="D73" s="10" t="inlineStr">
        <is>
          <t>Manufacturer</t>
        </is>
      </c>
      <c r="E73" s="10" t="inlineStr">
        <is>
          <t>02-M02</t>
        </is>
      </c>
      <c r="F73" s="10" t="inlineStr">
        <is>
          <t>/home/ubuntu/george_asia_peptide_due_diligence/manufacturers/02-M02.md</t>
        </is>
      </c>
      <c r="G73" s="18" t="inlineStr">
        <is>
          <t>https://www.accessdata.fda.gov/cms_ia/importalert_189.html</t>
        </is>
      </c>
      <c r="H73" s="10" t="inlineStr">
        <is>
          <t>20 August 2026</t>
        </is>
      </c>
      <c r="I73" s="10" t="inlineStr">
        <is>
          <t>See cited dossier/report; issuer claims require primary-record verification where identified.</t>
        </is>
      </c>
    </row>
    <row r="74">
      <c r="C74" s="10" t="inlineStr">
        <is>
          <t>SRC-066</t>
        </is>
      </c>
      <c r="D74" s="10" t="inlineStr">
        <is>
          <t>Manufacturer</t>
        </is>
      </c>
      <c r="E74" s="10" t="inlineStr">
        <is>
          <t>02-M02</t>
        </is>
      </c>
      <c r="F74" s="10" t="inlineStr">
        <is>
          <t>/home/ubuntu/george_asia_peptide_due_diligence/manufacturers/02-M02.md</t>
        </is>
      </c>
      <c r="G74" s="18" t="inlineStr">
        <is>
          <t>https://www.accessdata.fda.gov/cms_ia/importalert_1174.html</t>
        </is>
      </c>
      <c r="H74" s="10" t="inlineStr">
        <is>
          <t>20 August 2026</t>
        </is>
      </c>
      <c r="I74" s="10" t="inlineStr">
        <is>
          <t>See cited dossier/report; issuer claims require primary-record verification where identified.</t>
        </is>
      </c>
    </row>
    <row r="75">
      <c r="C75" s="10" t="inlineStr">
        <is>
          <t>SRC-067</t>
        </is>
      </c>
      <c r="D75" s="10" t="inlineStr">
        <is>
          <t>Manufacturer</t>
        </is>
      </c>
      <c r="E75" s="10" t="inlineStr">
        <is>
          <t>03-M03</t>
        </is>
      </c>
      <c r="F75" s="10" t="inlineStr">
        <is>
          <t>/home/ubuntu/george_asia_peptide_due_diligence/manufacturers/03-M03.md</t>
        </is>
      </c>
      <c r="G75" s="18" t="inlineStr">
        <is>
          <t>https://pdf.dfcfw.com/pdf/H2_AN202604291821715619_1.PDF?t=1782816592078</t>
        </is>
      </c>
      <c r="H75" s="10" t="inlineStr">
        <is>
          <t>20 August 2026</t>
        </is>
      </c>
      <c r="I75" s="10" t="inlineStr">
        <is>
          <t>See cited dossier/report; issuer claims require primary-record verification where identified.</t>
        </is>
      </c>
    </row>
    <row r="76">
      <c r="C76" s="10" t="inlineStr">
        <is>
          <t>SRC-068</t>
        </is>
      </c>
      <c r="D76" s="10" t="inlineStr">
        <is>
          <t>Manufacturer</t>
        </is>
      </c>
      <c r="E76" s="10" t="inlineStr">
        <is>
          <t>03-M03</t>
        </is>
      </c>
      <c r="F76" s="10" t="inlineStr">
        <is>
          <t>/home/ubuntu/george_asia_peptide_due_diligence/manufacturers/03-M03.md</t>
        </is>
      </c>
      <c r="G76" s="18" t="inlineStr">
        <is>
          <t>https://www.hybio.com/subsidiary/</t>
        </is>
      </c>
      <c r="H76" s="10" t="inlineStr">
        <is>
          <t>20 August 2026</t>
        </is>
      </c>
      <c r="I76" s="10" t="inlineStr">
        <is>
          <t>See cited dossier/report; issuer claims require primary-record verification where identified.</t>
        </is>
      </c>
    </row>
    <row r="77">
      <c r="C77" s="10" t="inlineStr">
        <is>
          <t>SRC-069</t>
        </is>
      </c>
      <c r="D77" s="10" t="inlineStr">
        <is>
          <t>Manufacturer</t>
        </is>
      </c>
      <c r="E77" s="10" t="inlineStr">
        <is>
          <t>03-M03</t>
        </is>
      </c>
      <c r="F77" s="10" t="inlineStr">
        <is>
          <t>/home/ubuntu/george_asia_peptide_due_diligence/manufacturers/03-M03.md</t>
        </is>
      </c>
      <c r="G77" s="18" t="inlineStr">
        <is>
          <t>https://www.nmpa.gov.cn/directory/web/nmpa//xxgk/ggtg/ypggtg/ypgmprzh/ypgmprzhgg/ypgmpshj/20190115000001188.html</t>
        </is>
      </c>
      <c r="H77" s="10" t="inlineStr">
        <is>
          <t>20 August 2026</t>
        </is>
      </c>
      <c r="I77" s="10" t="inlineStr">
        <is>
          <t>See cited dossier/report; issuer claims require primary-record verification where identified.</t>
        </is>
      </c>
    </row>
    <row r="78">
      <c r="C78" s="10" t="inlineStr">
        <is>
          <t>SRC-070</t>
        </is>
      </c>
      <c r="D78" s="10" t="inlineStr">
        <is>
          <t>Manufacturer</t>
        </is>
      </c>
      <c r="E78" s="10" t="inlineStr">
        <is>
          <t>03-M03</t>
        </is>
      </c>
      <c r="F78" s="10" t="inlineStr">
        <is>
          <t>/home/ubuntu/george_asia_peptide_due_diligence/manufacturers/03-M03.md</t>
        </is>
      </c>
      <c r="G78" s="18" t="inlineStr">
        <is>
          <t>https://dailymed.nlm.nih.gov/dailymed/drugInfo.cfm?setid=2100ec49-57b2-4330-ab5f-057ce9b7e4d0</t>
        </is>
      </c>
      <c r="H78" s="10" t="inlineStr">
        <is>
          <t>20 August 2026</t>
        </is>
      </c>
      <c r="I78" s="10" t="inlineStr">
        <is>
          <t>See cited dossier/report; issuer claims require primary-record verification where identified.</t>
        </is>
      </c>
    </row>
    <row r="79">
      <c r="C79" s="10" t="inlineStr">
        <is>
          <t>SRC-071</t>
        </is>
      </c>
      <c r="D79" s="10" t="inlineStr">
        <is>
          <t>Manufacturer</t>
        </is>
      </c>
      <c r="E79" s="10" t="inlineStr">
        <is>
          <t>03-M03</t>
        </is>
      </c>
      <c r="F79" s="10" t="inlineStr">
        <is>
          <t>/home/ubuntu/george_asia_peptide_due_diligence/manufacturers/03-M03.md</t>
        </is>
      </c>
      <c r="G79" s="18" t="inlineStr">
        <is>
          <t>https://projects.propublica.org/rx-inspector/facilities/3011090684/</t>
        </is>
      </c>
      <c r="H79" s="10" t="inlineStr">
        <is>
          <t>20 August 2026</t>
        </is>
      </c>
      <c r="I79" s="10" t="inlineStr">
        <is>
          <t>See cited dossier/report; issuer claims require primary-record verification where identified.</t>
        </is>
      </c>
    </row>
    <row r="80">
      <c r="C80" s="10" t="inlineStr">
        <is>
          <t>SRC-072</t>
        </is>
      </c>
      <c r="D80" s="10" t="inlineStr">
        <is>
          <t>Manufacturer</t>
        </is>
      </c>
      <c r="E80" s="10" t="inlineStr">
        <is>
          <t>03-M03</t>
        </is>
      </c>
      <c r="F80" s="10" t="inlineStr">
        <is>
          <t>/home/ubuntu/george_asia_peptide_due_diligence/manufacturers/03-M03.md</t>
        </is>
      </c>
      <c r="G80" s="18" t="inlineStr">
        <is>
          <t>https://pdf.dfcfw.com/pdf/H2_AN202111191529958067_1.pdf</t>
        </is>
      </c>
      <c r="H80" s="10" t="inlineStr">
        <is>
          <t>20 August 2026</t>
        </is>
      </c>
      <c r="I80" s="10" t="inlineStr">
        <is>
          <t>See cited dossier/report; issuer claims require primary-record verification where identified.</t>
        </is>
      </c>
    </row>
    <row r="81">
      <c r="C81" s="10" t="inlineStr">
        <is>
          <t>SRC-073</t>
        </is>
      </c>
      <c r="D81" s="10" t="inlineStr">
        <is>
          <t>Manufacturer</t>
        </is>
      </c>
      <c r="E81" s="10" t="inlineStr">
        <is>
          <t>03-M03</t>
        </is>
      </c>
      <c r="F81" s="10" t="inlineStr">
        <is>
          <t>/home/ubuntu/george_asia_peptide_due_diligence/manufacturers/03-M03.md</t>
        </is>
      </c>
      <c r="G81" s="18" t="inlineStr">
        <is>
          <t>https://www.gov.br/anvisa/pt-br/composicao/diretoria-colegiada/reunioes-da-diretoria/votos-dos-circuitos-deliberativos-1/2025/cd-0660-2025-voto.pdf</t>
        </is>
      </c>
      <c r="H81" s="10" t="inlineStr">
        <is>
          <t>20 August 2026</t>
        </is>
      </c>
      <c r="I81" s="10" t="inlineStr">
        <is>
          <t>See cited dossier/report; issuer claims require primary-record verification where identified.</t>
        </is>
      </c>
    </row>
    <row r="82">
      <c r="C82" s="10" t="inlineStr">
        <is>
          <t>SRC-074</t>
        </is>
      </c>
      <c r="D82" s="10" t="inlineStr">
        <is>
          <t>Manufacturer</t>
        </is>
      </c>
      <c r="E82" s="10" t="inlineStr">
        <is>
          <t>03-M03</t>
        </is>
      </c>
      <c r="F82" s="10" t="inlineStr">
        <is>
          <t>/home/ubuntu/george_asia_peptide_due_diligence/manufacturers/03-M03.md</t>
        </is>
      </c>
      <c r="G82" s="18" t="inlineStr">
        <is>
          <t>https://projects.propublica.org/rx-inspector/facilities/3016069760/</t>
        </is>
      </c>
      <c r="H82" s="10" t="inlineStr">
        <is>
          <t>20 August 2026</t>
        </is>
      </c>
      <c r="I82" s="10" t="inlineStr">
        <is>
          <t>See cited dossier/report; issuer claims require primary-record verification where identified.</t>
        </is>
      </c>
    </row>
    <row r="83">
      <c r="C83" s="10" t="inlineStr">
        <is>
          <t>SRC-075</t>
        </is>
      </c>
      <c r="D83" s="10" t="inlineStr">
        <is>
          <t>Manufacturer</t>
        </is>
      </c>
      <c r="E83" s="10" t="inlineStr">
        <is>
          <t>03-M03</t>
        </is>
      </c>
      <c r="F83" s="10" t="inlineStr">
        <is>
          <t>/home/ubuntu/george_asia_peptide_due_diligence/manufacturers/03-M03.md</t>
        </is>
      </c>
      <c r="G83" s="18" t="inlineStr">
        <is>
          <t>https://www.nmpa.gov.cn/directory/web/nmpa/xxgk/ggtg/ypggtg/ypgmprzh/ypgmprzhgg/ypgmpshj/20181119000001285.html</t>
        </is>
      </c>
      <c r="H83" s="10" t="inlineStr">
        <is>
          <t>20 August 2026</t>
        </is>
      </c>
      <c r="I83" s="10" t="inlineStr">
        <is>
          <t>See cited dossier/report; issuer claims require primary-record verification where identified.</t>
        </is>
      </c>
    </row>
    <row r="84">
      <c r="C84" s="10" t="inlineStr">
        <is>
          <t>SRC-076</t>
        </is>
      </c>
      <c r="D84" s="10" t="inlineStr">
        <is>
          <t>Manufacturer</t>
        </is>
      </c>
      <c r="E84" s="10" t="inlineStr">
        <is>
          <t>03-M03</t>
        </is>
      </c>
      <c r="F84" s="10" t="inlineStr">
        <is>
          <t>/home/ubuntu/george_asia_peptide_due_diligence/manufacturers/03-M03.md</t>
        </is>
      </c>
      <c r="G84" s="18" t="inlineStr">
        <is>
          <t>https://cima.aemps.es/cima/publico/detalle.html?nregistro=84867</t>
        </is>
      </c>
      <c r="H84" s="10" t="inlineStr">
        <is>
          <t>20 August 2026</t>
        </is>
      </c>
      <c r="I84" s="10" t="inlineStr">
        <is>
          <t>See cited dossier/report; issuer claims require primary-record verification where identified.</t>
        </is>
      </c>
    </row>
    <row r="85">
      <c r="C85" s="10" t="inlineStr">
        <is>
          <t>SRC-077</t>
        </is>
      </c>
      <c r="D85" s="10" t="inlineStr">
        <is>
          <t>Manufacturer</t>
        </is>
      </c>
      <c r="E85" s="10" t="inlineStr">
        <is>
          <t>03-M03</t>
        </is>
      </c>
      <c r="F85" s="10" t="inlineStr">
        <is>
          <t>/home/ubuntu/george_asia_peptide_due_diligence/manufacturers/03-M03.md</t>
        </is>
      </c>
      <c r="G85" s="18" t="inlineStr">
        <is>
          <t>https://www.hybio.com/peptide-drug-development/</t>
        </is>
      </c>
      <c r="H85" s="10" t="inlineStr">
        <is>
          <t>20 August 2026</t>
        </is>
      </c>
      <c r="I85" s="10" t="inlineStr">
        <is>
          <t>See cited dossier/report; issuer claims require primary-record verification where identified.</t>
        </is>
      </c>
    </row>
    <row r="86">
      <c r="C86" s="10" t="inlineStr">
        <is>
          <t>SRC-078</t>
        </is>
      </c>
      <c r="D86" s="10" t="inlineStr">
        <is>
          <t>Manufacturer</t>
        </is>
      </c>
      <c r="E86" s="10" t="inlineStr">
        <is>
          <t>03-M03</t>
        </is>
      </c>
      <c r="F86" s="10" t="inlineStr">
        <is>
          <t>/home/ubuntu/george_asia_peptide_due_diligence/manufacturers/03-M03.md</t>
        </is>
      </c>
      <c r="G86" s="18" t="inlineStr">
        <is>
          <t>https://www.hybio.com/crdmo-services/</t>
        </is>
      </c>
      <c r="H86" s="10" t="inlineStr">
        <is>
          <t>20 August 2026</t>
        </is>
      </c>
      <c r="I86" s="10" t="inlineStr">
        <is>
          <t>See cited dossier/report; issuer claims require primary-record verification where identified.</t>
        </is>
      </c>
    </row>
    <row r="87">
      <c r="C87" s="10" t="inlineStr">
        <is>
          <t>SRC-079</t>
        </is>
      </c>
      <c r="D87" s="10" t="inlineStr">
        <is>
          <t>Manufacturer</t>
        </is>
      </c>
      <c r="E87" s="10" t="inlineStr">
        <is>
          <t>03-M03</t>
        </is>
      </c>
      <c r="F87" s="10" t="inlineStr">
        <is>
          <t>/home/ubuntu/george_asia_peptide_due_diligence/manufacturers/03-M03.md</t>
        </is>
      </c>
      <c r="G87" s="18" t="inlineStr">
        <is>
          <t>https://www.fda.gov/news-events/press-announcements/fda-approves-first-generic-once-daily-glp-1-injection-lower-blood-sugar-patients-type-2-diabetes</t>
        </is>
      </c>
      <c r="H87" s="10" t="inlineStr">
        <is>
          <t>20 August 2026</t>
        </is>
      </c>
      <c r="I87" s="10" t="inlineStr">
        <is>
          <t>See cited dossier/report; issuer claims require primary-record verification where identified.</t>
        </is>
      </c>
    </row>
    <row r="88">
      <c r="C88" s="10" t="inlineStr">
        <is>
          <t>SRC-080</t>
        </is>
      </c>
      <c r="D88" s="10" t="inlineStr">
        <is>
          <t>Manufacturer</t>
        </is>
      </c>
      <c r="E88" s="10" t="inlineStr">
        <is>
          <t>03-M03</t>
        </is>
      </c>
      <c r="F88" s="10" t="inlineStr">
        <is>
          <t>/home/ubuntu/george_asia_peptide_due_diligence/manufacturers/03-M03.md</t>
        </is>
      </c>
      <c r="G88" s="18" t="inlineStr">
        <is>
          <t>https://www.fda.gov/inspections-compliance-enforcement-and-criminal-investigations/inspection-basics/inspection-classifications</t>
        </is>
      </c>
      <c r="H88" s="10" t="inlineStr">
        <is>
          <t>20 August 2026</t>
        </is>
      </c>
      <c r="I88" s="10" t="inlineStr">
        <is>
          <t>See cited dossier/report; issuer claims require primary-record verification where identified.</t>
        </is>
      </c>
    </row>
    <row r="89">
      <c r="C89" s="10" t="inlineStr">
        <is>
          <t>SRC-081</t>
        </is>
      </c>
      <c r="D89" s="10" t="inlineStr">
        <is>
          <t>Manufacturer</t>
        </is>
      </c>
      <c r="E89" s="10" t="inlineStr">
        <is>
          <t>03-M03</t>
        </is>
      </c>
      <c r="F89" s="10" t="inlineStr">
        <is>
          <t>/home/ubuntu/george_asia_peptide_due_diligence/manufacturers/03-M03.md</t>
        </is>
      </c>
      <c r="G89" s="18" t="inlineStr">
        <is>
          <t>https://www.nmpa.gov.cn/directory/web/nmpa/zwfw/sdxx/sdxxyp/yppjfb/20230129155130147.html</t>
        </is>
      </c>
      <c r="H89" s="10" t="inlineStr">
        <is>
          <t>20 August 2026</t>
        </is>
      </c>
      <c r="I89" s="10" t="inlineStr">
        <is>
          <t>See cited dossier/report; issuer claims require primary-record verification where identified.</t>
        </is>
      </c>
    </row>
    <row r="90">
      <c r="C90" s="10" t="inlineStr">
        <is>
          <t>SRC-082</t>
        </is>
      </c>
      <c r="D90" s="10" t="inlineStr">
        <is>
          <t>Manufacturer</t>
        </is>
      </c>
      <c r="E90" s="10" t="inlineStr">
        <is>
          <t>03-M03</t>
        </is>
      </c>
      <c r="F90" s="10" t="inlineStr">
        <is>
          <t>/home/ubuntu/george_asia_peptide_due_diligence/manufacturers/03-M03.md</t>
        </is>
      </c>
      <c r="G90" s="18" t="inlineStr">
        <is>
          <t>https://www.nmpa.gov.cn/directory/web/nmpa/zwfw/sdxx/sdxxyp/yppjfb/20230202160812103.html</t>
        </is>
      </c>
      <c r="H90" s="10" t="inlineStr">
        <is>
          <t>20 August 2026</t>
        </is>
      </c>
      <c r="I90" s="10" t="inlineStr">
        <is>
          <t>See cited dossier/report; issuer claims require primary-record verification where identified.</t>
        </is>
      </c>
    </row>
    <row r="91">
      <c r="C91" s="10" t="inlineStr">
        <is>
          <t>SRC-083</t>
        </is>
      </c>
      <c r="D91" s="10" t="inlineStr">
        <is>
          <t>Manufacturer</t>
        </is>
      </c>
      <c r="E91" s="10" t="inlineStr">
        <is>
          <t>03-M03</t>
        </is>
      </c>
      <c r="F91" s="10" t="inlineStr">
        <is>
          <t>/home/ubuntu/george_asia_peptide_due_diligence/manufacturers/03-M03.md</t>
        </is>
      </c>
      <c r="G91" s="18" t="inlineStr">
        <is>
          <t>https://www.nmpa.gov.cn/zwfw/sdxx/sdxxyp/yppjfb/20260701155655187.html?type=pc&amp;m=</t>
        </is>
      </c>
      <c r="H91" s="10" t="inlineStr">
        <is>
          <t>20 August 2026</t>
        </is>
      </c>
      <c r="I91" s="10" t="inlineStr">
        <is>
          <t>See cited dossier/report; issuer claims require primary-record verification where identified.</t>
        </is>
      </c>
    </row>
    <row r="92">
      <c r="C92" s="10" t="inlineStr">
        <is>
          <t>SRC-084</t>
        </is>
      </c>
      <c r="D92" s="10" t="inlineStr">
        <is>
          <t>Manufacturer</t>
        </is>
      </c>
      <c r="E92" s="10" t="inlineStr">
        <is>
          <t>03-M03</t>
        </is>
      </c>
      <c r="F92" s="10" t="inlineStr">
        <is>
          <t>/home/ubuntu/george_asia_peptide_due_diligence/manufacturers/03-M03.md</t>
        </is>
      </c>
      <c r="G92" s="18" t="inlineStr">
        <is>
          <t>https://www.hybio.com/zh/notice/announcement-on-the-wholly-owned-subsidiary-obtaining-the-austral/</t>
        </is>
      </c>
      <c r="H92" s="10" t="inlineStr">
        <is>
          <t>20 August 2026</t>
        </is>
      </c>
      <c r="I92" s="10" t="inlineStr">
        <is>
          <t>See cited dossier/report; issuer claims require primary-record verification where identified.</t>
        </is>
      </c>
    </row>
    <row r="93">
      <c r="C93" s="10" t="inlineStr">
        <is>
          <t>SRC-085</t>
        </is>
      </c>
      <c r="D93" s="10" t="inlineStr">
        <is>
          <t>Manufacturer</t>
        </is>
      </c>
      <c r="E93" s="10" t="inlineStr">
        <is>
          <t>03-M03</t>
        </is>
      </c>
      <c r="F93" s="10" t="inlineStr">
        <is>
          <t>/home/ubuntu/george_asia_peptide_due_diligence/manufacturers/03-M03.md</t>
        </is>
      </c>
      <c r="G93" s="18" t="inlineStr">
        <is>
          <t>http://notice.10jqka.com.cn/api/pdf/e224e819098f4d2c_1744976591/%E7%BF%B0%E5%AE%87%E8%8D%AF%E4%B8%9A%EF%BC%9A%E5%85%B3%E4%BA%8E%E5%90%91%E9%9F%A9%E5%9B%BD%E9%A3%9F%E5%93%81%E8%8D%AF%E5%93%81%E5%AE%89%E5%85%A8%E5%A4%84%E6%8F%90%E4%BA%A4%E6%9B%BF%E5%B0%94%E6%B3%8A%E8%82%BD%E5%8E%9F%E6%96%99%E8%8D%AF%E7%99%BB%E8%AE%B0%E7%9A%84%E5%85%AC%E5%91%8A.pdf</t>
        </is>
      </c>
      <c r="H93" s="10" t="inlineStr">
        <is>
          <t>20 August 2026</t>
        </is>
      </c>
      <c r="I93" s="10" t="inlineStr">
        <is>
          <t>See cited dossier/report; issuer claims require primary-record verification where identified.</t>
        </is>
      </c>
    </row>
    <row r="94">
      <c r="C94" s="10" t="inlineStr">
        <is>
          <t>SRC-086</t>
        </is>
      </c>
      <c r="D94" s="10" t="inlineStr">
        <is>
          <t>Manufacturer</t>
        </is>
      </c>
      <c r="E94" s="10" t="inlineStr">
        <is>
          <t>03-M03</t>
        </is>
      </c>
      <c r="F94" s="10" t="inlineStr">
        <is>
          <t>/home/ubuntu/george_asia_peptide_due_diligence/manufacturers/03-M03.md</t>
        </is>
      </c>
      <c r="G94" s="18" t="inlineStr">
        <is>
          <t>https://www.hybio.com/news/hybio-pharmaceutical-s-longhua-headquarters-r-d-center-laboratory-passes-fda-inspection-again-with-zero-deficiencies/</t>
        </is>
      </c>
      <c r="H94" s="10" t="inlineStr">
        <is>
          <t>20 August 2026</t>
        </is>
      </c>
      <c r="I94" s="10" t="inlineStr">
        <is>
          <t>See cited dossier/report; issuer claims require primary-record verification where identified.</t>
        </is>
      </c>
    </row>
    <row r="95">
      <c r="C95" s="10" t="inlineStr">
        <is>
          <t>SRC-087</t>
        </is>
      </c>
      <c r="D95" s="10" t="inlineStr">
        <is>
          <t>Manufacturer</t>
        </is>
      </c>
      <c r="E95" s="10" t="inlineStr">
        <is>
          <t>03-M03</t>
        </is>
      </c>
      <c r="F95" s="10" t="inlineStr">
        <is>
          <t>/home/ubuntu/george_asia_peptide_due_diligence/manufacturers/03-M03.md</t>
        </is>
      </c>
      <c r="G95" s="18" t="inlineStr">
        <is>
          <t>https://www.accessdata.fda.gov/CMS_IA/importalert_1186.html</t>
        </is>
      </c>
      <c r="H95" s="10" t="inlineStr">
        <is>
          <t>20 August 2026</t>
        </is>
      </c>
      <c r="I95" s="10" t="inlineStr">
        <is>
          <t>See cited dossier/report; issuer claims require primary-record verification where identified.</t>
        </is>
      </c>
    </row>
    <row r="96">
      <c r="C96" s="10" t="inlineStr">
        <is>
          <t>SRC-088</t>
        </is>
      </c>
      <c r="D96" s="10" t="inlineStr">
        <is>
          <t>Manufacturer</t>
        </is>
      </c>
      <c r="E96" s="10" t="inlineStr">
        <is>
          <t>03-M03</t>
        </is>
      </c>
      <c r="F96" s="10" t="inlineStr">
        <is>
          <t>/home/ubuntu/george_asia_peptide_due_diligence/manufacturers/03-M03.md</t>
        </is>
      </c>
      <c r="G96" s="18" t="inlineStr">
        <is>
          <t>https://disc.static.szse.cn/disc/disk03/finalpage/2023-08-14/0f7f53c8-77df-40f7-a9b9-6cc601875520.PDF</t>
        </is>
      </c>
      <c r="H96" s="10" t="inlineStr">
        <is>
          <t>20 August 2026</t>
        </is>
      </c>
      <c r="I96" s="10" t="inlineStr">
        <is>
          <t>See cited dossier/report; issuer claims require primary-record verification where identified.</t>
        </is>
      </c>
    </row>
    <row r="97">
      <c r="C97" s="10" t="inlineStr">
        <is>
          <t>SRC-089</t>
        </is>
      </c>
      <c r="D97" s="10" t="inlineStr">
        <is>
          <t>Manufacturer</t>
        </is>
      </c>
      <c r="E97" s="10" t="inlineStr">
        <is>
          <t>03-M03</t>
        </is>
      </c>
      <c r="F97" s="10" t="inlineStr">
        <is>
          <t>/home/ubuntu/george_asia_peptide_due_diligence/manufacturers/03-M03.md</t>
        </is>
      </c>
      <c r="G97" s="18" t="inlineStr">
        <is>
          <t>http://changchun.customs.gov.cn/shenzhen_customs/zfxxgk15/4956195/4956283/4962908/4972922/4972944/6586472/index.html</t>
        </is>
      </c>
      <c r="H97" s="10" t="inlineStr">
        <is>
          <t>20 August 2026</t>
        </is>
      </c>
      <c r="I97" s="10" t="inlineStr">
        <is>
          <t>See cited dossier/report; issuer claims require primary-record verification where identified.</t>
        </is>
      </c>
    </row>
    <row r="98">
      <c r="C98" s="10" t="inlineStr">
        <is>
          <t>SRC-090</t>
        </is>
      </c>
      <c r="D98" s="10" t="inlineStr">
        <is>
          <t>Manufacturer</t>
        </is>
      </c>
      <c r="E98" s="10" t="inlineStr">
        <is>
          <t>03-M03</t>
        </is>
      </c>
      <c r="F98" s="10" t="inlineStr">
        <is>
          <t>/home/ubuntu/george_asia_peptide_due_diligence/manufacturers/03-M03.md</t>
        </is>
      </c>
      <c r="G98" s="18" t="inlineStr">
        <is>
          <t>https://www.hybio.com/news/good-news-hybio-pharmaceutical-completes-official-nmpa-registration-for-tirzepatide-api/</t>
        </is>
      </c>
      <c r="H98" s="10" t="inlineStr">
        <is>
          <t>20 August 2026</t>
        </is>
      </c>
      <c r="I98" s="10" t="inlineStr">
        <is>
          <t>See cited dossier/report; issuer claims require primary-record verification where identified.</t>
        </is>
      </c>
    </row>
    <row r="99">
      <c r="C99" s="10" t="inlineStr">
        <is>
          <t>SRC-091</t>
        </is>
      </c>
      <c r="D99" s="10" t="inlineStr">
        <is>
          <t>Manufacturer</t>
        </is>
      </c>
      <c r="E99" s="10" t="inlineStr">
        <is>
          <t>03-M03</t>
        </is>
      </c>
      <c r="F99" s="10" t="inlineStr">
        <is>
          <t>/home/ubuntu/george_asia_peptide_due_diligence/manufacturers/03-M03.md</t>
        </is>
      </c>
      <c r="G99" s="18" t="inlineStr">
        <is>
          <t>https://www.hybio.com/news/good-news-hybio-pharmaceutical-completes-official-nmpa-registration-of-semaglutide-api/</t>
        </is>
      </c>
      <c r="H99" s="10" t="inlineStr">
        <is>
          <t>20 August 2026</t>
        </is>
      </c>
      <c r="I99" s="10" t="inlineStr">
        <is>
          <t>See cited dossier/report; issuer claims require primary-record verification where identified.</t>
        </is>
      </c>
    </row>
    <row r="100">
      <c r="C100" s="10" t="inlineStr">
        <is>
          <t>SRC-092</t>
        </is>
      </c>
      <c r="D100" s="10" t="inlineStr">
        <is>
          <t>Manufacturer</t>
        </is>
      </c>
      <c r="E100" s="10" t="inlineStr">
        <is>
          <t>04-M04</t>
        </is>
      </c>
      <c r="F100" s="10" t="inlineStr">
        <is>
          <t>/home/ubuntu/george_asia_peptide_due_diligence/manufacturers/04-M04.md</t>
        </is>
      </c>
      <c r="G100" s="18" t="inlineStr">
        <is>
          <t>https://www.kgi.com.hk/en/-/media/files/kgishk/pdf/ipoprospectus/hkipo_03880.pdf</t>
        </is>
      </c>
      <c r="H100" s="10" t="inlineStr">
        <is>
          <t>20 August 2026</t>
        </is>
      </c>
      <c r="I100" s="10" t="inlineStr">
        <is>
          <t>See cited dossier/report; issuer claims require primary-record verification where identified.</t>
        </is>
      </c>
    </row>
    <row r="101">
      <c r="C101" s="10" t="inlineStr">
        <is>
          <t>SRC-093</t>
        </is>
      </c>
      <c r="D101" s="10" t="inlineStr">
        <is>
          <t>Manufacturer</t>
        </is>
      </c>
      <c r="E101" s="10" t="inlineStr">
        <is>
          <t>04-M04</t>
        </is>
      </c>
      <c r="F101" s="10" t="inlineStr">
        <is>
          <t>/home/ubuntu/george_asia_peptide_due_diligence/manufacturers/04-M04.md</t>
        </is>
      </c>
      <c r="G101" s="18" t="inlineStr">
        <is>
          <t>https://cpcscientific.com/medtide-inc-cpc-scientifics-parent-company-debuts-on-hong-kong-stock-exchange/</t>
        </is>
      </c>
      <c r="H101" s="10" t="inlineStr">
        <is>
          <t>20 August 2026</t>
        </is>
      </c>
      <c r="I101" s="10" t="inlineStr">
        <is>
          <t>See cited dossier/report; issuer claims require primary-record verification where identified.</t>
        </is>
      </c>
    </row>
    <row r="102">
      <c r="C102" s="10" t="inlineStr">
        <is>
          <t>SRC-094</t>
        </is>
      </c>
      <c r="D102" s="10" t="inlineStr">
        <is>
          <t>Manufacturer</t>
        </is>
      </c>
      <c r="E102" s="10" t="inlineStr">
        <is>
          <t>04-M04</t>
        </is>
      </c>
      <c r="F102" s="10" t="inlineStr">
        <is>
          <t>/home/ubuntu/george_asia_peptide_due_diligence/manufacturers/04-M04.md</t>
        </is>
      </c>
      <c r="G102" s="18" t="inlineStr">
        <is>
          <t>https://projects.propublica.org/rx-inspector/facilities/3004518843/</t>
        </is>
      </c>
      <c r="H102" s="10" t="inlineStr">
        <is>
          <t>20 August 2026</t>
        </is>
      </c>
      <c r="I102" s="10" t="inlineStr">
        <is>
          <t>See cited dossier/report; issuer claims require primary-record verification where identified.</t>
        </is>
      </c>
    </row>
    <row r="103">
      <c r="C103" s="10" t="inlineStr">
        <is>
          <t>SRC-095</t>
        </is>
      </c>
      <c r="D103" s="10" t="inlineStr">
        <is>
          <t>Manufacturer</t>
        </is>
      </c>
      <c r="E103" s="10" t="inlineStr">
        <is>
          <t>04-M04</t>
        </is>
      </c>
      <c r="F103" s="10" t="inlineStr">
        <is>
          <t>/home/ubuntu/george_asia_peptide_due_diligence/manufacturers/04-M04.md</t>
        </is>
      </c>
      <c r="G103" s="18" t="inlineStr">
        <is>
          <t>https://hbw.citeline.com/-/media/pmbi-old-site/supporting-documents/pharmasia-news/2012/june/warning-letter--chinese-peptide-co.pdf</t>
        </is>
      </c>
      <c r="H103" s="10" t="inlineStr">
        <is>
          <t>20 August 2026</t>
        </is>
      </c>
      <c r="I103" s="10" t="inlineStr">
        <is>
          <t>See cited dossier/report; issuer claims require primary-record verification where identified.</t>
        </is>
      </c>
    </row>
    <row r="104">
      <c r="C104" s="10" t="inlineStr">
        <is>
          <t>SRC-096</t>
        </is>
      </c>
      <c r="D104" s="10" t="inlineStr">
        <is>
          <t>Manufacturer</t>
        </is>
      </c>
      <c r="E104" s="10" t="inlineStr">
        <is>
          <t>04-M04</t>
        </is>
      </c>
      <c r="F104" s="10" t="inlineStr">
        <is>
          <t>/home/ubuntu/george_asia_peptide_due_diligence/manufacturers/04-M04.md</t>
        </is>
      </c>
      <c r="G104" s="18" t="inlineStr">
        <is>
          <t>https://www.medtideinc.com/en/CompanyNews/info.aspx?itemid=327</t>
        </is>
      </c>
      <c r="H104" s="10" t="inlineStr">
        <is>
          <t>20 August 2026</t>
        </is>
      </c>
      <c r="I104" s="10" t="inlineStr">
        <is>
          <t>See cited dossier/report; issuer claims require primary-record verification where identified.</t>
        </is>
      </c>
    </row>
    <row r="105">
      <c r="C105" s="10" t="inlineStr">
        <is>
          <t>SRC-097</t>
        </is>
      </c>
      <c r="D105" s="10" t="inlineStr">
        <is>
          <t>Manufacturer</t>
        </is>
      </c>
      <c r="E105" s="10" t="inlineStr">
        <is>
          <t>04-M04</t>
        </is>
      </c>
      <c r="F105" s="10" t="inlineStr">
        <is>
          <t>/home/ubuntu/george_asia_peptide_due_diligence/manufacturers/04-M04.md</t>
        </is>
      </c>
      <c r="G105" s="18" t="inlineStr">
        <is>
          <t>https://newsfile.moomoo.com/public/NN-PersistNoticeAttachment/7781/20260330/12078527-0.PDF</t>
        </is>
      </c>
      <c r="H105" s="10" t="inlineStr">
        <is>
          <t>20 August 2026</t>
        </is>
      </c>
      <c r="I105" s="10" t="inlineStr">
        <is>
          <t>See cited dossier/report; issuer claims require primary-record verification where identified.</t>
        </is>
      </c>
    </row>
    <row r="106">
      <c r="C106" s="10" t="inlineStr">
        <is>
          <t>SRC-098</t>
        </is>
      </c>
      <c r="D106" s="10" t="inlineStr">
        <is>
          <t>Manufacturer</t>
        </is>
      </c>
      <c r="E106" s="10" t="inlineStr">
        <is>
          <t>04-M04</t>
        </is>
      </c>
      <c r="F106" s="10" t="inlineStr">
        <is>
          <t>/home/ubuntu/george_asia_peptide_due_diligence/manufacturers/04-M04.md</t>
        </is>
      </c>
      <c r="G106" s="18" t="inlineStr">
        <is>
          <t>https://cpcscientific.com/locations/</t>
        </is>
      </c>
      <c r="H106" s="10" t="inlineStr">
        <is>
          <t>20 August 2026</t>
        </is>
      </c>
      <c r="I106" s="10" t="inlineStr">
        <is>
          <t>See cited dossier/report; issuer claims require primary-record verification where identified.</t>
        </is>
      </c>
    </row>
    <row r="107">
      <c r="C107" s="10" t="inlineStr">
        <is>
          <t>SRC-099</t>
        </is>
      </c>
      <c r="D107" s="10" t="inlineStr">
        <is>
          <t>Manufacturer</t>
        </is>
      </c>
      <c r="E107" s="10" t="inlineStr">
        <is>
          <t>04-M04</t>
        </is>
      </c>
      <c r="F107" s="10" t="inlineStr">
        <is>
          <t>/home/ubuntu/george_asia_peptide_due_diligence/manufacturers/04-M04.md</t>
        </is>
      </c>
      <c r="G107" s="18" t="inlineStr">
        <is>
          <t>https://www.nmpa.gov.cn/directory/web/nmpa/xxgk/ggtg/ypggtg/ypgmprzh/ypgmprzhgg/ypgmpgjj/20100114165101245.html</t>
        </is>
      </c>
      <c r="H107" s="10" t="inlineStr">
        <is>
          <t>20 August 2026</t>
        </is>
      </c>
      <c r="I107" s="10" t="inlineStr">
        <is>
          <t>See cited dossier/report; issuer claims require primary-record verification where identified.</t>
        </is>
      </c>
    </row>
    <row r="108">
      <c r="C108" s="10" t="inlineStr">
        <is>
          <t>SRC-100</t>
        </is>
      </c>
      <c r="D108" s="10" t="inlineStr">
        <is>
          <t>Manufacturer</t>
        </is>
      </c>
      <c r="E108" s="10" t="inlineStr">
        <is>
          <t>04-M04</t>
        </is>
      </c>
      <c r="F108" s="10" t="inlineStr">
        <is>
          <t>/home/ubuntu/george_asia_peptide_due_diligence/manufacturers/04-M04.md</t>
        </is>
      </c>
      <c r="G108" s="18" t="inlineStr">
        <is>
          <t>https://www.businesswire.com/news/home/20260805297284/en/CPC-Scientific-Announces-U.S.-FDA-Pre-License-Inspection-PLI-Successfully-Completed-at-Its-Hangzhou-cGMP-Manufacturing-Facility-for-Hepcludex-API-Establishing-a-Proven-Track-Record-Under-the-Stringent-BLA-Pathway</t>
        </is>
      </c>
      <c r="H108" s="10" t="inlineStr">
        <is>
          <t>20 August 2026</t>
        </is>
      </c>
      <c r="I108" s="10" t="inlineStr">
        <is>
          <t>See cited dossier/report; issuer claims require primary-record verification where identified.</t>
        </is>
      </c>
    </row>
    <row r="109">
      <c r="C109" s="10" t="inlineStr">
        <is>
          <t>SRC-101</t>
        </is>
      </c>
      <c r="D109" s="10" t="inlineStr">
        <is>
          <t>Manufacturer</t>
        </is>
      </c>
      <c r="E109" s="10" t="inlineStr">
        <is>
          <t>04-M04</t>
        </is>
      </c>
      <c r="F109" s="10" t="inlineStr">
        <is>
          <t>/home/ubuntu/george_asia_peptide_due_diligence/manufacturers/04-M04.md</t>
        </is>
      </c>
      <c r="G109" s="18" t="inlineStr">
        <is>
          <t>https://static.propublica.org/fda-inspection-documents/483s/2024-10801%2F240010163_enc2_320.pdf</t>
        </is>
      </c>
      <c r="H109" s="10" t="inlineStr">
        <is>
          <t>20 August 2026</t>
        </is>
      </c>
      <c r="I109" s="10" t="inlineStr">
        <is>
          <t>See cited dossier/report; issuer claims require primary-record verification where identified.</t>
        </is>
      </c>
    </row>
    <row r="110">
      <c r="C110" s="10" t="inlineStr">
        <is>
          <t>SRC-102</t>
        </is>
      </c>
      <c r="D110" s="10" t="inlineStr">
        <is>
          <t>Manufacturer</t>
        </is>
      </c>
      <c r="E110" s="10" t="inlineStr">
        <is>
          <t>04-M04</t>
        </is>
      </c>
      <c r="F110" s="10" t="inlineStr">
        <is>
          <t>/home/ubuntu/george_asia_peptide_due_diligence/manufacturers/04-M04.md</t>
        </is>
      </c>
      <c r="G110" s="18" t="inlineStr">
        <is>
          <t>https://cpcscientific.com/custom-peptide-synthesis/cgmp-peptide-manufacturing/capacity/</t>
        </is>
      </c>
      <c r="H110" s="10" t="inlineStr">
        <is>
          <t>20 August 2026</t>
        </is>
      </c>
      <c r="I110" s="10" t="inlineStr">
        <is>
          <t>See cited dossier/report; issuer claims require primary-record verification where identified.</t>
        </is>
      </c>
    </row>
    <row r="111">
      <c r="C111" s="10" t="inlineStr">
        <is>
          <t>SRC-103</t>
        </is>
      </c>
      <c r="D111" s="10" t="inlineStr">
        <is>
          <t>Manufacturer</t>
        </is>
      </c>
      <c r="E111" s="10" t="inlineStr">
        <is>
          <t>04-M04</t>
        </is>
      </c>
      <c r="F111" s="10" t="inlineStr">
        <is>
          <t>/home/ubuntu/george_asia_peptide_due_diligence/manufacturers/04-M04.md</t>
        </is>
      </c>
      <c r="G111" s="18" t="inlineStr">
        <is>
          <t>https://cpcscientific.com/custom-peptide-synthesis/cgmp-peptide-manufacturing/quality/</t>
        </is>
      </c>
      <c r="H111" s="10" t="inlineStr">
        <is>
          <t>20 August 2026</t>
        </is>
      </c>
      <c r="I111" s="10" t="inlineStr">
        <is>
          <t>See cited dossier/report; issuer claims require primary-record verification where identified.</t>
        </is>
      </c>
    </row>
    <row r="112">
      <c r="C112" s="10" t="inlineStr">
        <is>
          <t>SRC-104</t>
        </is>
      </c>
      <c r="D112" s="10" t="inlineStr">
        <is>
          <t>Manufacturer</t>
        </is>
      </c>
      <c r="E112" s="10" t="inlineStr">
        <is>
          <t>04-M04</t>
        </is>
      </c>
      <c r="F112" s="10" t="inlineStr">
        <is>
          <t>/home/ubuntu/george_asia_peptide_due_diligence/manufacturers/04-M04.md</t>
        </is>
      </c>
      <c r="G112" s="18" t="inlineStr">
        <is>
          <t>https://www.fda.gov/news-events/press-announcements/fda-approves-first-treatment-chronic-hepatitis-delta-virus-hdv-infection</t>
        </is>
      </c>
      <c r="H112" s="10" t="inlineStr">
        <is>
          <t>20 August 2026</t>
        </is>
      </c>
      <c r="I112" s="10" t="inlineStr">
        <is>
          <t>See cited dossier/report; issuer claims require primary-record verification where identified.</t>
        </is>
      </c>
    </row>
    <row r="113">
      <c r="C113" s="10" t="inlineStr">
        <is>
          <t>SRC-105</t>
        </is>
      </c>
      <c r="D113" s="10" t="inlineStr">
        <is>
          <t>Manufacturer</t>
        </is>
      </c>
      <c r="E113" s="10" t="inlineStr">
        <is>
          <t>04-M04</t>
        </is>
      </c>
      <c r="F113" s="10" t="inlineStr">
        <is>
          <t>/home/ubuntu/george_asia_peptide_due_diligence/manufacturers/04-M04.md</t>
        </is>
      </c>
      <c r="G113" s="18" t="inlineStr">
        <is>
          <t>https://www.fda483s.com/fdadocs/chinese-peptide-company-hangzhou-china/</t>
        </is>
      </c>
      <c r="H113" s="10" t="inlineStr">
        <is>
          <t>20 August 2026</t>
        </is>
      </c>
      <c r="I113" s="10" t="inlineStr">
        <is>
          <t>See cited dossier/report; issuer claims require primary-record verification where identified.</t>
        </is>
      </c>
    </row>
    <row r="114">
      <c r="C114" s="10" t="inlineStr">
        <is>
          <t>SRC-106</t>
        </is>
      </c>
      <c r="D114" s="10" t="inlineStr">
        <is>
          <t>Manufacturer</t>
        </is>
      </c>
      <c r="E114" s="10" t="inlineStr">
        <is>
          <t>04-M04</t>
        </is>
      </c>
      <c r="F114" s="10" t="inlineStr">
        <is>
          <t>/home/ubuntu/george_asia_peptide_due_diligence/manufacturers/04-M04.md</t>
        </is>
      </c>
      <c r="G114" s="18" t="inlineStr">
        <is>
          <t>https://cpcscientific.com/cpc-scientifics-tirzepatide-api-successfully-secures-us-fda-dmf-filing/</t>
        </is>
      </c>
      <c r="H114" s="10" t="inlineStr">
        <is>
          <t>20 August 2026</t>
        </is>
      </c>
      <c r="I114" s="10" t="inlineStr">
        <is>
          <t>See cited dossier/report; issuer claims require primary-record verification where identified.</t>
        </is>
      </c>
    </row>
    <row r="115">
      <c r="C115" s="10" t="inlineStr">
        <is>
          <t>SRC-107</t>
        </is>
      </c>
      <c r="D115" s="10" t="inlineStr">
        <is>
          <t>Manufacturer</t>
        </is>
      </c>
      <c r="E115" s="10" t="inlineStr">
        <is>
          <t>04-M04</t>
        </is>
      </c>
      <c r="F115" s="10" t="inlineStr">
        <is>
          <t>/home/ubuntu/george_asia_peptide_due_diligence/manufacturers/04-M04.md</t>
        </is>
      </c>
      <c r="G115" s="18" t="inlineStr">
        <is>
          <t>https://cpcscientific.com/cpc-scientifics-gmp-manufacturing-facility-passes-german-inspection/</t>
        </is>
      </c>
      <c r="H115" s="10" t="inlineStr">
        <is>
          <t>20 August 2026</t>
        </is>
      </c>
      <c r="I115" s="10" t="inlineStr">
        <is>
          <t>See cited dossier/report; issuer claims require primary-record verification where identified.</t>
        </is>
      </c>
    </row>
    <row r="116">
      <c r="C116" s="10" t="inlineStr">
        <is>
          <t>SRC-108</t>
        </is>
      </c>
      <c r="D116" s="10" t="inlineStr">
        <is>
          <t>Manufacturer</t>
        </is>
      </c>
      <c r="E116" s="10" t="inlineStr">
        <is>
          <t>04-M04</t>
        </is>
      </c>
      <c r="F116" s="10" t="inlineStr">
        <is>
          <t>/home/ubuntu/george_asia_peptide_due_diligence/manufacturers/04-M04.md</t>
        </is>
      </c>
      <c r="G116" s="18" t="inlineStr">
        <is>
          <t>https://www.ema.europa.eu/en/medicines/human/EPAR/hepcludex</t>
        </is>
      </c>
      <c r="H116" s="10" t="inlineStr">
        <is>
          <t>20 August 2026</t>
        </is>
      </c>
      <c r="I116" s="10" t="inlineStr">
        <is>
          <t>See cited dossier/report; issuer claims require primary-record verification where identified.</t>
        </is>
      </c>
    </row>
    <row r="117">
      <c r="C117" s="10" t="inlineStr">
        <is>
          <t>SRC-109</t>
        </is>
      </c>
      <c r="D117" s="10" t="inlineStr">
        <is>
          <t>Manufacturer</t>
        </is>
      </c>
      <c r="E117" s="10" t="inlineStr">
        <is>
          <t>04-M04</t>
        </is>
      </c>
      <c r="F117" s="10" t="inlineStr">
        <is>
          <t>/home/ubuntu/george_asia_peptide_due_diligence/manufacturers/04-M04.md</t>
        </is>
      </c>
      <c r="G117" s="18" t="inlineStr">
        <is>
          <t>https://www.medtideinc.com/en/companynews/info.aspx?itemid=328</t>
        </is>
      </c>
      <c r="H117" s="10" t="inlineStr">
        <is>
          <t>20 August 2026</t>
        </is>
      </c>
      <c r="I117" s="10" t="inlineStr">
        <is>
          <t>See cited dossier/report; issuer claims require primary-record verification where identified.</t>
        </is>
      </c>
    </row>
    <row r="118">
      <c r="C118" s="10" t="inlineStr">
        <is>
          <t>SRC-110</t>
        </is>
      </c>
      <c r="D118" s="10" t="inlineStr">
        <is>
          <t>Manufacturer</t>
        </is>
      </c>
      <c r="E118" s="10" t="inlineStr">
        <is>
          <t>04-M04</t>
        </is>
      </c>
      <c r="F118" s="10" t="inlineStr">
        <is>
          <t>/home/ubuntu/george_asia_peptide_due_diligence/manufacturers/04-M04.md</t>
        </is>
      </c>
      <c r="G118" s="18" t="inlineStr">
        <is>
          <t>https://www.fda.gov/news-events/press-announcements/fda-launches-green-list-protect-americans-illegal-imported-glp-1-drug-ingredients</t>
        </is>
      </c>
      <c r="H118" s="10" t="inlineStr">
        <is>
          <t>20 August 2026</t>
        </is>
      </c>
      <c r="I118" s="10" t="inlineStr">
        <is>
          <t>See cited dossier/report; issuer claims require primary-record verification where identified.</t>
        </is>
      </c>
    </row>
    <row r="119">
      <c r="C119" s="10" t="inlineStr">
        <is>
          <t>SRC-111</t>
        </is>
      </c>
      <c r="D119" s="10" t="inlineStr">
        <is>
          <t>Manufacturer</t>
        </is>
      </c>
      <c r="E119" s="10" t="inlineStr">
        <is>
          <t>05-M05</t>
        </is>
      </c>
      <c r="F119" s="10" t="inlineStr">
        <is>
          <t>/home/ubuntu/george_asia_peptide_due_diligence/manufacturers/05-M05.md</t>
        </is>
      </c>
      <c r="G119" s="18" t="inlineStr">
        <is>
          <t>https://extranet.who.int/prequal/medicines/active-pharmaceutical-ingredient/whoapi-361-oxytocin</t>
        </is>
      </c>
      <c r="H119" s="10" t="inlineStr">
        <is>
          <t>20 August 2026</t>
        </is>
      </c>
      <c r="I119" s="10" t="inlineStr">
        <is>
          <t>See cited dossier/report; issuer claims require primary-record verification where identified.</t>
        </is>
      </c>
    </row>
    <row r="120">
      <c r="C120" s="10" t="inlineStr">
        <is>
          <t>SRC-112</t>
        </is>
      </c>
      <c r="D120" s="10" t="inlineStr">
        <is>
          <t>Manufacturer</t>
        </is>
      </c>
      <c r="E120" s="10" t="inlineStr">
        <is>
          <t>05-M05</t>
        </is>
      </c>
      <c r="F120" s="10" t="inlineStr">
        <is>
          <t>/home/ubuntu/george_asia_peptide_due_diligence/manufacturers/05-M05.md</t>
        </is>
      </c>
      <c r="G120" s="18" t="inlineStr">
        <is>
          <t>https://extranet.who.int/prequal/medicines/active-pharmaceutical-ingredient/whoapi-423-carbetocin</t>
        </is>
      </c>
      <c r="H120" s="10" t="inlineStr">
        <is>
          <t>20 August 2026</t>
        </is>
      </c>
      <c r="I120" s="10" t="inlineStr">
        <is>
          <t>See cited dossier/report; issuer claims require primary-record verification where identified.</t>
        </is>
      </c>
    </row>
    <row r="121">
      <c r="C121" s="10" t="inlineStr">
        <is>
          <t>SRC-113</t>
        </is>
      </c>
      <c r="D121" s="10" t="inlineStr">
        <is>
          <t>Manufacturer</t>
        </is>
      </c>
      <c r="E121" s="10" t="inlineStr">
        <is>
          <t>05-M05</t>
        </is>
      </c>
      <c r="F121" s="10" t="inlineStr">
        <is>
          <t>/home/ubuntu/george_asia_peptide_due_diligence/manufacturers/05-M05.md</t>
        </is>
      </c>
      <c r="G121" s="18" t="inlineStr">
        <is>
          <t>https://extranet.who.int/prequal/medicines/rh083</t>
        </is>
      </c>
      <c r="H121" s="10" t="inlineStr">
        <is>
          <t>20 August 2026</t>
        </is>
      </c>
      <c r="I121" s="10" t="inlineStr">
        <is>
          <t>See cited dossier/report; issuer claims require primary-record verification where identified.</t>
        </is>
      </c>
    </row>
    <row r="122">
      <c r="C122" s="10" t="inlineStr">
        <is>
          <t>SRC-114</t>
        </is>
      </c>
      <c r="D122" s="10" t="inlineStr">
        <is>
          <t>Manufacturer</t>
        </is>
      </c>
      <c r="E122" s="10" t="inlineStr">
        <is>
          <t>05-M05</t>
        </is>
      </c>
      <c r="F122" s="10" t="inlineStr">
        <is>
          <t>/home/ubuntu/george_asia_peptide_due_diligence/manufacturers/05-M05.md</t>
        </is>
      </c>
      <c r="G122" s="18" t="inlineStr">
        <is>
          <t>https://cdsco.gov.in/opencms/resources/UploadCDSCOWeb/2018/UploadInternationalCell/WC%20-0549%20-Piramal.pdf</t>
        </is>
      </c>
      <c r="H122" s="10" t="inlineStr">
        <is>
          <t>20 August 2026</t>
        </is>
      </c>
      <c r="I122" s="10" t="inlineStr">
        <is>
          <t>See cited dossier/report; issuer claims require primary-record verification where identified.</t>
        </is>
      </c>
    </row>
    <row r="123">
      <c r="C123" s="10" t="inlineStr">
        <is>
          <t>SRC-115</t>
        </is>
      </c>
      <c r="D123" s="10" t="inlineStr">
        <is>
          <t>Manufacturer</t>
        </is>
      </c>
      <c r="E123" s="10" t="inlineStr">
        <is>
          <t>05-M05</t>
        </is>
      </c>
      <c r="F123" s="10" t="inlineStr">
        <is>
          <t>/home/ubuntu/george_asia_peptide_due_diligence/manufacturers/05-M05.md</t>
        </is>
      </c>
      <c r="G123" s="18" t="inlineStr">
        <is>
          <t>https://www.fda.gov/media/185578/download</t>
        </is>
      </c>
      <c r="H123" s="10" t="inlineStr">
        <is>
          <t>20 August 2026</t>
        </is>
      </c>
      <c r="I123" s="10" t="inlineStr">
        <is>
          <t>See cited dossier/report; issuer claims require primary-record verification where identified.</t>
        </is>
      </c>
    </row>
    <row r="124">
      <c r="C124" s="10" t="inlineStr">
        <is>
          <t>SRC-116</t>
        </is>
      </c>
      <c r="D124" s="10" t="inlineStr">
        <is>
          <t>Manufacturer</t>
        </is>
      </c>
      <c r="E124" s="10" t="inlineStr">
        <is>
          <t>05-M05</t>
        </is>
      </c>
      <c r="F124" s="10" t="inlineStr">
        <is>
          <t>/home/ubuntu/george_asia_peptide_due_diligence/manufacturers/05-M05.md</t>
        </is>
      </c>
      <c r="G124" s="18" t="inlineStr">
        <is>
          <t>https://www.business-standard.com/markets/capital-market-news/piramal-pharma-gains-after-receiving-eir-for-turbhe-facility-from-usfda-125051200714_1.html</t>
        </is>
      </c>
      <c r="H124" s="10" t="inlineStr">
        <is>
          <t>20 August 2026</t>
        </is>
      </c>
      <c r="I124" s="10" t="inlineStr">
        <is>
          <t>See cited dossier/report; issuer claims require primary-record verification where identified.</t>
        </is>
      </c>
    </row>
    <row r="125">
      <c r="C125" s="10" t="inlineStr">
        <is>
          <t>SRC-117</t>
        </is>
      </c>
      <c r="D125" s="10" t="inlineStr">
        <is>
          <t>Manufacturer</t>
        </is>
      </c>
      <c r="E125" s="10" t="inlineStr">
        <is>
          <t>05-M05</t>
        </is>
      </c>
      <c r="F125" s="10" t="inlineStr">
        <is>
          <t>/home/ubuntu/george_asia_peptide_due_diligence/manufacturers/05-M05.md</t>
        </is>
      </c>
      <c r="G125" s="18" t="inlineStr">
        <is>
          <t>https://www.health.gov.za/wp-content/uploads/2026/02/Current-Master-Health-Product-List-6-Feb-2026.xlsx</t>
        </is>
      </c>
      <c r="H125" s="10" t="inlineStr">
        <is>
          <t>20 August 2026</t>
        </is>
      </c>
      <c r="I125" s="10" t="inlineStr">
        <is>
          <t>See cited dossier/report; issuer claims require primary-record verification where identified.</t>
        </is>
      </c>
    </row>
    <row r="126">
      <c r="C126" s="10" t="inlineStr">
        <is>
          <t>SRC-118</t>
        </is>
      </c>
      <c r="D126" s="10" t="inlineStr">
        <is>
          <t>Manufacturer</t>
        </is>
      </c>
      <c r="E126" s="10" t="inlineStr">
        <is>
          <t>05-M05</t>
        </is>
      </c>
      <c r="F126" s="10" t="inlineStr">
        <is>
          <t>/home/ubuntu/george_asia_peptide_due_diligence/manufacturers/05-M05.md</t>
        </is>
      </c>
      <c r="G126" s="18" t="inlineStr">
        <is>
          <t>https://www.piramalpharmasolutions.com/facilities/peptide-api-development-and-manufacturing-turbhe</t>
        </is>
      </c>
      <c r="H126" s="10" t="inlineStr">
        <is>
          <t>20 August 2026</t>
        </is>
      </c>
      <c r="I126" s="10" t="inlineStr">
        <is>
          <t>See cited dossier/report; issuer claims require primary-record verification where identified.</t>
        </is>
      </c>
    </row>
    <row r="127">
      <c r="C127" s="10" t="inlineStr">
        <is>
          <t>SRC-119</t>
        </is>
      </c>
      <c r="D127" s="10" t="inlineStr">
        <is>
          <t>Manufacturer</t>
        </is>
      </c>
      <c r="E127" s="10" t="inlineStr">
        <is>
          <t>05-M05</t>
        </is>
      </c>
      <c r="F127" s="10" t="inlineStr">
        <is>
          <t>/home/ubuntu/george_asia_peptide_due_diligence/manufacturers/05-M05.md</t>
        </is>
      </c>
      <c r="G127" s="18" t="inlineStr">
        <is>
          <t>https://ppl-da-website-new-afd-endpoint-bgd4d0c9egf9g2eq.a01.azurefd.net/media/documents/Annual-Report-FY-2025-26.pdf</t>
        </is>
      </c>
      <c r="H127" s="10" t="inlineStr">
        <is>
          <t>20 August 2026</t>
        </is>
      </c>
      <c r="I127" s="10" t="inlineStr">
        <is>
          <t>See cited dossier/report; issuer claims require primary-record verification where identified.</t>
        </is>
      </c>
    </row>
    <row r="128">
      <c r="C128" s="10" t="inlineStr">
        <is>
          <t>SRC-120</t>
        </is>
      </c>
      <c r="D128" s="10" t="inlineStr">
        <is>
          <t>Manufacturer</t>
        </is>
      </c>
      <c r="E128" s="10" t="inlineStr">
        <is>
          <t>05-M05</t>
        </is>
      </c>
      <c r="F128" s="10" t="inlineStr">
        <is>
          <t>/home/ubuntu/george_asia_peptide_due_diligence/manufacturers/05-M05.md</t>
        </is>
      </c>
      <c r="G128" s="18" t="inlineStr">
        <is>
          <t>https://www.piramalpharmasolutions.com/facilities/sterile-injectables-development-and-manufacturing-lexington</t>
        </is>
      </c>
      <c r="H128" s="10" t="inlineStr">
        <is>
          <t>20 August 2026</t>
        </is>
      </c>
      <c r="I128" s="10" t="inlineStr">
        <is>
          <t>See cited dossier/report; issuer claims require primary-record verification where identified.</t>
        </is>
      </c>
    </row>
    <row r="129">
      <c r="C129" s="10" t="inlineStr">
        <is>
          <t>SRC-121</t>
        </is>
      </c>
      <c r="D129" s="10" t="inlineStr">
        <is>
          <t>Manufacturer</t>
        </is>
      </c>
      <c r="E129" s="10" t="inlineStr">
        <is>
          <t>05-M05</t>
        </is>
      </c>
      <c r="F129" s="10" t="inlineStr">
        <is>
          <t>/home/ubuntu/george_asia_peptide_due_diligence/manufacturers/05-M05.md</t>
        </is>
      </c>
      <c r="G129" s="18" t="inlineStr">
        <is>
          <t>https://www.business-standard.com/markets/capital-market-news/piramal-pharma-gets-eir-for-lexington-facility-from-us-fda-126041300272_1.html</t>
        </is>
      </c>
      <c r="H129" s="10" t="inlineStr">
        <is>
          <t>20 August 2026</t>
        </is>
      </c>
      <c r="I129" s="10" t="inlineStr">
        <is>
          <t>See cited dossier/report; issuer claims require primary-record verification where identified.</t>
        </is>
      </c>
    </row>
    <row r="130">
      <c r="C130" s="10" t="inlineStr">
        <is>
          <t>SRC-122</t>
        </is>
      </c>
      <c r="D130" s="10" t="inlineStr">
        <is>
          <t>Manufacturer</t>
        </is>
      </c>
      <c r="E130" s="10" t="inlineStr">
        <is>
          <t>05-M05</t>
        </is>
      </c>
      <c r="F130" s="10" t="inlineStr">
        <is>
          <t>/home/ubuntu/george_asia_peptide_due_diligence/manufacturers/05-M05.md</t>
        </is>
      </c>
      <c r="G130" s="18" t="inlineStr">
        <is>
          <t>https://extranet.who.int/prequal/sites/default/files/whopar_files/RH083part6v2_1.pdf</t>
        </is>
      </c>
      <c r="H130" s="10" t="inlineStr">
        <is>
          <t>20 August 2026</t>
        </is>
      </c>
      <c r="I130" s="10" t="inlineStr">
        <is>
          <t>See cited dossier/report; issuer claims require primary-record verification where identified.</t>
        </is>
      </c>
    </row>
    <row r="131">
      <c r="C131" s="10" t="inlineStr">
        <is>
          <t>SRC-123</t>
        </is>
      </c>
      <c r="D131" s="10" t="inlineStr">
        <is>
          <t>Manufacturer</t>
        </is>
      </c>
      <c r="E131" s="10" t="inlineStr">
        <is>
          <t>05-M05</t>
        </is>
      </c>
      <c r="F131" s="10" t="inlineStr">
        <is>
          <t>/home/ubuntu/george_asia_peptide_due_diligence/manufacturers/05-M05.md</t>
        </is>
      </c>
      <c r="G131" s="18" t="inlineStr">
        <is>
          <t>https://www.piramalpharmasolutions.com/resources/blogs/cost-effective-synthesis-of-complex-cyclic-peptides</t>
        </is>
      </c>
      <c r="H131" s="10" t="inlineStr">
        <is>
          <t>20 August 2026</t>
        </is>
      </c>
      <c r="I131" s="10" t="inlineStr">
        <is>
          <t>See cited dossier/report; issuer claims require primary-record verification where identified.</t>
        </is>
      </c>
    </row>
    <row r="132">
      <c r="C132" s="10" t="inlineStr">
        <is>
          <t>SRC-124</t>
        </is>
      </c>
      <c r="D132" s="10" t="inlineStr">
        <is>
          <t>Manufacturer</t>
        </is>
      </c>
      <c r="E132" s="10" t="inlineStr">
        <is>
          <t>05-M05</t>
        </is>
      </c>
      <c r="F132" s="10" t="inlineStr">
        <is>
          <t>/home/ubuntu/george_asia_peptide_due_diligence/manufacturers/05-M05.md</t>
        </is>
      </c>
      <c r="G132" s="18" t="inlineStr">
        <is>
          <t>https://www.prnewswire.com/news-releases/piramal-pharma-solutions-expands-peptide-api-facility-with-advanced-spray-drying-suite-302842218.html</t>
        </is>
      </c>
      <c r="H132" s="10" t="inlineStr">
        <is>
          <t>20 August 2026</t>
        </is>
      </c>
      <c r="I132" s="10" t="inlineStr">
        <is>
          <t>See cited dossier/report; issuer claims require primary-record verification where identified.</t>
        </is>
      </c>
    </row>
    <row r="133">
      <c r="C133" s="10" t="inlineStr">
        <is>
          <t>SRC-125</t>
        </is>
      </c>
      <c r="D133" s="10" t="inlineStr">
        <is>
          <t>Manufacturer</t>
        </is>
      </c>
      <c r="E133" s="10" t="inlineStr">
        <is>
          <t>05-M05</t>
        </is>
      </c>
      <c r="F133" s="10" t="inlineStr">
        <is>
          <t>/home/ubuntu/george_asia_peptide_due_diligence/manufacturers/05-M05.md</t>
        </is>
      </c>
      <c r="G133" s="18" t="inlineStr">
        <is>
          <t>https://www.prnewswire.com/news-releases/piramal-pharmas-fy2026-annual-report-showcases-global-scale-innovation-led-growth-and-sustainability-milestones-302819498.html</t>
        </is>
      </c>
      <c r="H133" s="10" t="inlineStr">
        <is>
          <t>20 August 2026</t>
        </is>
      </c>
      <c r="I133" s="10" t="inlineStr">
        <is>
          <t>See cited dossier/report; issuer claims require primary-record verification where identified.</t>
        </is>
      </c>
    </row>
    <row r="134">
      <c r="C134" s="10" t="inlineStr">
        <is>
          <t>SRC-126</t>
        </is>
      </c>
      <c r="D134" s="10" t="inlineStr">
        <is>
          <t>Manufacturer</t>
        </is>
      </c>
      <c r="E134" s="10" t="inlineStr">
        <is>
          <t>05-M05</t>
        </is>
      </c>
      <c r="F134" s="10" t="inlineStr">
        <is>
          <t>/home/ubuntu/george_asia_peptide_due_diligence/manufacturers/05-M05.md</t>
        </is>
      </c>
      <c r="G134" s="18" t="inlineStr">
        <is>
          <t>https://www.pharmamanufacturing.com/industry-news/news/55271230/fda-hits-piramal-pharmas-api-plant-in-india-with-form-483-for-deficiencies</t>
        </is>
      </c>
      <c r="H134" s="10" t="inlineStr">
        <is>
          <t>20 August 2026</t>
        </is>
      </c>
      <c r="I134" s="10" t="inlineStr">
        <is>
          <t>See cited dossier/report; issuer claims require primary-record verification where identified.</t>
        </is>
      </c>
    </row>
    <row r="135">
      <c r="C135" s="10" t="inlineStr">
        <is>
          <t>SRC-127</t>
        </is>
      </c>
      <c r="D135" s="10" t="inlineStr">
        <is>
          <t>Manufacturer</t>
        </is>
      </c>
      <c r="E135" s="10" t="inlineStr">
        <is>
          <t>06-M06</t>
        </is>
      </c>
      <c r="F135" s="10" t="inlineStr">
        <is>
          <t>/home/ubuntu/george_asia_peptide_due_diligence/manufacturers/06-M06.md</t>
        </is>
      </c>
      <c r="G135" s="18" t="inlineStr">
        <is>
          <t>https://vbshilpa.com/pdf/Annual-report-results-2025-2026.pdf</t>
        </is>
      </c>
      <c r="H135" s="10" t="inlineStr">
        <is>
          <t>20 August 2026</t>
        </is>
      </c>
      <c r="I135" s="10" t="inlineStr">
        <is>
          <t>See cited dossier/report; issuer claims require primary-record verification where identified.</t>
        </is>
      </c>
    </row>
    <row r="136">
      <c r="C136" s="10" t="inlineStr">
        <is>
          <t>SRC-128</t>
        </is>
      </c>
      <c r="D136" s="10" t="inlineStr">
        <is>
          <t>Manufacturer</t>
        </is>
      </c>
      <c r="E136" s="10" t="inlineStr">
        <is>
          <t>06-M06</t>
        </is>
      </c>
      <c r="F136" s="10" t="inlineStr">
        <is>
          <t>/home/ubuntu/george_asia_peptide_due_diligence/manufacturers/06-M06.md</t>
        </is>
      </c>
      <c r="G136" s="18" t="inlineStr">
        <is>
          <t>https://vbshilpa.com/annual-reports.php</t>
        </is>
      </c>
      <c r="H136" s="10" t="inlineStr">
        <is>
          <t>20 August 2026</t>
        </is>
      </c>
      <c r="I136" s="10" t="inlineStr">
        <is>
          <t>See cited dossier/report; issuer claims require primary-record verification where identified.</t>
        </is>
      </c>
    </row>
    <row r="137">
      <c r="C137" s="10" t="inlineStr">
        <is>
          <t>SRC-129</t>
        </is>
      </c>
      <c r="D137" s="10" t="inlineStr">
        <is>
          <t>Manufacturer</t>
        </is>
      </c>
      <c r="E137" s="10" t="inlineStr">
        <is>
          <t>06-M06</t>
        </is>
      </c>
      <c r="F137" s="10" t="inlineStr">
        <is>
          <t>/home/ubuntu/george_asia_peptide_due_diligence/manufacturers/06-M06.md</t>
        </is>
      </c>
      <c r="G137" s="18" t="inlineStr">
        <is>
          <t>https://www.vbshilpa.com/locations.php</t>
        </is>
      </c>
      <c r="H137" s="10" t="inlineStr">
        <is>
          <t>20 August 2026</t>
        </is>
      </c>
      <c r="I137" s="10" t="inlineStr">
        <is>
          <t>See cited dossier/report; issuer claims require primary-record verification where identified.</t>
        </is>
      </c>
    </row>
    <row r="138">
      <c r="C138" s="10" t="inlineStr">
        <is>
          <t>SRC-130</t>
        </is>
      </c>
      <c r="D138" s="10" t="inlineStr">
        <is>
          <t>Manufacturer</t>
        </is>
      </c>
      <c r="E138" s="10" t="inlineStr">
        <is>
          <t>06-M06</t>
        </is>
      </c>
      <c r="F138" s="10" t="inlineStr">
        <is>
          <t>/home/ubuntu/george_asia_peptide_due_diligence/manufacturers/06-M06.md</t>
        </is>
      </c>
      <c r="G138" s="18" t="inlineStr">
        <is>
          <t>https://www.vbshilpa.com/pdf/Shilpa%20Pharma%20Lifesciences%20Limited,%20Received%20CEP%20from%20EDQM%20for%20API,%20Desmopressin.pdf</t>
        </is>
      </c>
      <c r="H138" s="10" t="inlineStr">
        <is>
          <t>20 August 2026</t>
        </is>
      </c>
      <c r="I138" s="10" t="inlineStr">
        <is>
          <t>See cited dossier/report; issuer claims require primary-record verification where identified.</t>
        </is>
      </c>
    </row>
    <row r="139">
      <c r="C139" s="10" t="inlineStr">
        <is>
          <t>SRC-131</t>
        </is>
      </c>
      <c r="D139" s="10" t="inlineStr">
        <is>
          <t>Manufacturer</t>
        </is>
      </c>
      <c r="E139" s="10" t="inlineStr">
        <is>
          <t>06-M06</t>
        </is>
      </c>
      <c r="F139" s="10" t="inlineStr">
        <is>
          <t>/home/ubuntu/george_asia_peptide_due_diligence/manufacturers/06-M06.md</t>
        </is>
      </c>
      <c r="G139" s="18" t="inlineStr">
        <is>
          <t>https://www.vbshilpa.com/pdf/Shilpa%20Pharma%20Lifesciences%20Limited,%20Received%20CEP%20from%20EDQM%20for%20API,%20Octreotide.pdf</t>
        </is>
      </c>
      <c r="H139" s="10" t="inlineStr">
        <is>
          <t>20 August 2026</t>
        </is>
      </c>
      <c r="I139" s="10" t="inlineStr">
        <is>
          <t>See cited dossier/report; issuer claims require primary-record verification where identified.</t>
        </is>
      </c>
    </row>
    <row r="140">
      <c r="C140" s="10" t="inlineStr">
        <is>
          <t>SRC-132</t>
        </is>
      </c>
      <c r="D140" s="10" t="inlineStr">
        <is>
          <t>Manufacturer</t>
        </is>
      </c>
      <c r="E140" s="10" t="inlineStr">
        <is>
          <t>06-M06</t>
        </is>
      </c>
      <c r="F140" s="10" t="inlineStr">
        <is>
          <t>/home/ubuntu/george_asia_peptide_due_diligence/manufacturers/06-M06.md</t>
        </is>
      </c>
      <c r="G140" s="18" t="inlineStr">
        <is>
          <t>https://www.vbshilpa.com/pdf/Shilpa%20Pharma%20Lifesciences%20Limited,%20Unit-1,%20Received%20EIR%20from%20USFDA.pdf</t>
        </is>
      </c>
      <c r="H140" s="10" t="inlineStr">
        <is>
          <t>20 August 2026</t>
        </is>
      </c>
      <c r="I140" s="10" t="inlineStr">
        <is>
          <t>See cited dossier/report; issuer claims require primary-record verification where identified.</t>
        </is>
      </c>
    </row>
    <row r="141">
      <c r="C141" s="10" t="inlineStr">
        <is>
          <t>SRC-133</t>
        </is>
      </c>
      <c r="D141" s="10" t="inlineStr">
        <is>
          <t>Manufacturer</t>
        </is>
      </c>
      <c r="E141" s="10" t="inlineStr">
        <is>
          <t>06-M06</t>
        </is>
      </c>
      <c r="F141" s="10" t="inlineStr">
        <is>
          <t>/home/ubuntu/george_asia_peptide_due_diligence/manufacturers/06-M06.md</t>
        </is>
      </c>
      <c r="G141" s="18" t="inlineStr">
        <is>
          <t>https://www.vbshilpa.com/pdf/Shilpa%20Pharma%20Lifesciences%20Ltd,%20Unit%20II,%20Raichur,%20Karnataka%20has%20cleared%20PMDA%20Japan,%20GMP%20inspection.pdf</t>
        </is>
      </c>
      <c r="H141" s="10" t="inlineStr">
        <is>
          <t>20 August 2026</t>
        </is>
      </c>
      <c r="I141" s="10" t="inlineStr">
        <is>
          <t>See cited dossier/report; issuer claims require primary-record verification where identified.</t>
        </is>
      </c>
    </row>
    <row r="142">
      <c r="C142" s="10" t="inlineStr">
        <is>
          <t>SRC-134</t>
        </is>
      </c>
      <c r="D142" s="10" t="inlineStr">
        <is>
          <t>Manufacturer</t>
        </is>
      </c>
      <c r="E142" s="10" t="inlineStr">
        <is>
          <t>06-M06</t>
        </is>
      </c>
      <c r="F142" s="10" t="inlineStr">
        <is>
          <t>/home/ubuntu/george_asia_peptide_due_diligence/manufacturers/06-M06.md</t>
        </is>
      </c>
      <c r="G142" s="18" t="inlineStr">
        <is>
          <t>https://www.vbshilpa.com/pdf/Shilpa%20Pharma%20Lifesciences%20Limited,%20Unit%202,%20Raichur,%20Karnataka%20has%20cleared%20the%20ANVISA-Brazil%20GMP%20inspection.pdf</t>
        </is>
      </c>
      <c r="H142" s="10" t="inlineStr">
        <is>
          <t>20 August 2026</t>
        </is>
      </c>
      <c r="I142" s="10" t="inlineStr">
        <is>
          <t>See cited dossier/report; issuer claims require primary-record verification where identified.</t>
        </is>
      </c>
    </row>
    <row r="143">
      <c r="C143" s="10" t="inlineStr">
        <is>
          <t>SRC-135</t>
        </is>
      </c>
      <c r="D143" s="10" t="inlineStr">
        <is>
          <t>Manufacturer</t>
        </is>
      </c>
      <c r="E143" s="10" t="inlineStr">
        <is>
          <t>06-M06</t>
        </is>
      </c>
      <c r="F143" s="10" t="inlineStr">
        <is>
          <t>/home/ubuntu/george_asia_peptide_due_diligence/manufacturers/06-M06.md</t>
        </is>
      </c>
      <c r="G143" s="18" t="inlineStr">
        <is>
          <t>https://www.vbshilpa.com/pdf/Europe%20GMP%20Approval%20of%20Shilpa%20Medicare%20Ltd.%20Unit%204,%20Jadcherla,%20Telangana..pdf</t>
        </is>
      </c>
      <c r="H143" s="10" t="inlineStr">
        <is>
          <t>20 August 2026</t>
        </is>
      </c>
      <c r="I143" s="10" t="inlineStr">
        <is>
          <t>See cited dossier/report; issuer claims require primary-record verification where identified.</t>
        </is>
      </c>
    </row>
    <row r="144">
      <c r="C144" s="10" t="inlineStr">
        <is>
          <t>SRC-136</t>
        </is>
      </c>
      <c r="D144" s="10" t="inlineStr">
        <is>
          <t>Manufacturer</t>
        </is>
      </c>
      <c r="E144" s="10" t="inlineStr">
        <is>
          <t>06-M06</t>
        </is>
      </c>
      <c r="F144" s="10" t="inlineStr">
        <is>
          <t>/home/ubuntu/george_asia_peptide_due_diligence/manufacturers/06-M06.md</t>
        </is>
      </c>
      <c r="G144" s="18" t="inlineStr">
        <is>
          <t>https://www.fda.gov/inspections-compliance-enforcement-and-criminal-investigations/warning-letters/shilpa-medicare-limited-607877-10092020</t>
        </is>
      </c>
      <c r="H144" s="10" t="inlineStr">
        <is>
          <t>20 August 2026</t>
        </is>
      </c>
      <c r="I144" s="10" t="inlineStr">
        <is>
          <t>See cited dossier/report; issuer claims require primary-record verification where identified.</t>
        </is>
      </c>
    </row>
    <row r="145">
      <c r="C145" s="10" t="inlineStr">
        <is>
          <t>SRC-137</t>
        </is>
      </c>
      <c r="D145" s="10" t="inlineStr">
        <is>
          <t>Manufacturer</t>
        </is>
      </c>
      <c r="E145" s="10" t="inlineStr">
        <is>
          <t>06-M06</t>
        </is>
      </c>
      <c r="F145" s="10" t="inlineStr">
        <is>
          <t>/home/ubuntu/george_asia_peptide_due_diligence/manufacturers/06-M06.md</t>
        </is>
      </c>
      <c r="G145" s="18" t="inlineStr">
        <is>
          <t>https://shilpapharma.com/capabilities/</t>
        </is>
      </c>
      <c r="H145" s="10" t="inlineStr">
        <is>
          <t>20 August 2026</t>
        </is>
      </c>
      <c r="I145" s="10" t="inlineStr">
        <is>
          <t>See cited dossier/report; issuer claims require primary-record verification where identified.</t>
        </is>
      </c>
    </row>
    <row r="146">
      <c r="C146" s="10" t="inlineStr">
        <is>
          <t>SRC-138</t>
        </is>
      </c>
      <c r="D146" s="10" t="inlineStr">
        <is>
          <t>Manufacturer</t>
        </is>
      </c>
      <c r="E146" s="10" t="inlineStr">
        <is>
          <t>06-M06</t>
        </is>
      </c>
      <c r="F146" s="10" t="inlineStr">
        <is>
          <t>/home/ubuntu/george_asia_peptide_due_diligence/manufacturers/06-M06.md</t>
        </is>
      </c>
      <c r="G146" s="18" t="inlineStr">
        <is>
          <t>https://shilpapharma.com/peptide-manufacturers/</t>
        </is>
      </c>
      <c r="H146" s="10" t="inlineStr">
        <is>
          <t>20 August 2026</t>
        </is>
      </c>
      <c r="I146" s="10" t="inlineStr">
        <is>
          <t>See cited dossier/report; issuer claims require primary-record verification where identified.</t>
        </is>
      </c>
    </row>
    <row r="147">
      <c r="C147" s="10" t="inlineStr">
        <is>
          <t>SRC-139</t>
        </is>
      </c>
      <c r="D147" s="10" t="inlineStr">
        <is>
          <t>Manufacturer</t>
        </is>
      </c>
      <c r="E147" s="10" t="inlineStr">
        <is>
          <t>06-M06</t>
        </is>
      </c>
      <c r="F147" s="10" t="inlineStr">
        <is>
          <t>/home/ubuntu/george_asia_peptide_due_diligence/manufacturers/06-M06.md</t>
        </is>
      </c>
      <c r="G147" s="18" t="inlineStr">
        <is>
          <t>https://vbshilpa.com/peptides-gmp.php</t>
        </is>
      </c>
      <c r="H147" s="10" t="inlineStr">
        <is>
          <t>20 August 2026</t>
        </is>
      </c>
      <c r="I147" s="10" t="inlineStr">
        <is>
          <t>See cited dossier/report; issuer claims require primary-record verification where identified.</t>
        </is>
      </c>
    </row>
    <row r="148">
      <c r="C148" s="10" t="inlineStr">
        <is>
          <t>SRC-140</t>
        </is>
      </c>
      <c r="D148" s="10" t="inlineStr">
        <is>
          <t>Manufacturer</t>
        </is>
      </c>
      <c r="E148" s="10" t="inlineStr">
        <is>
          <t>06-M06</t>
        </is>
      </c>
      <c r="F148" s="10" t="inlineStr">
        <is>
          <t>/home/ubuntu/george_asia_peptide_due_diligence/manufacturers/06-M06.md</t>
        </is>
      </c>
      <c r="G148" s="18" t="inlineStr">
        <is>
          <t>https://www.biopharminternational.com/view/shilpa-medicare-launches-hybrid-cdmo-dcat-week-2025</t>
        </is>
      </c>
      <c r="H148" s="10" t="inlineStr">
        <is>
          <t>20 August 2026</t>
        </is>
      </c>
      <c r="I148" s="10" t="inlineStr">
        <is>
          <t>See cited dossier/report; issuer claims require primary-record verification where identified.</t>
        </is>
      </c>
    </row>
    <row r="149">
      <c r="C149" s="10" t="inlineStr">
        <is>
          <t>SRC-141</t>
        </is>
      </c>
      <c r="D149" s="10" t="inlineStr">
        <is>
          <t>Manufacturer</t>
        </is>
      </c>
      <c r="E149" s="10" t="inlineStr">
        <is>
          <t>06-M06</t>
        </is>
      </c>
      <c r="F149" s="10" t="inlineStr">
        <is>
          <t>/home/ubuntu/george_asia_peptide_due_diligence/manufacturers/06-M06.md</t>
        </is>
      </c>
      <c r="G149" s="18" t="inlineStr">
        <is>
          <t>https://vbshilpa.com/peptides-non-gmp-services.php</t>
        </is>
      </c>
      <c r="H149" s="10" t="inlineStr">
        <is>
          <t>20 August 2026</t>
        </is>
      </c>
      <c r="I149" s="10" t="inlineStr">
        <is>
          <t>See cited dossier/report; issuer claims require primary-record verification where identified.</t>
        </is>
      </c>
    </row>
    <row r="150">
      <c r="C150" s="10" t="inlineStr">
        <is>
          <t>SRC-142</t>
        </is>
      </c>
      <c r="D150" s="10" t="inlineStr">
        <is>
          <t>Manufacturer</t>
        </is>
      </c>
      <c r="E150" s="10" t="inlineStr">
        <is>
          <t>06-M06</t>
        </is>
      </c>
      <c r="F150" s="10" t="inlineStr">
        <is>
          <t>/home/ubuntu/george_asia_peptide_due_diligence/manufacturers/06-M06.md</t>
        </is>
      </c>
      <c r="G150" s="18" t="inlineStr">
        <is>
          <t>https://shilpapharma.com/analytical-services/</t>
        </is>
      </c>
      <c r="H150" s="10" t="inlineStr">
        <is>
          <t>20 August 2026</t>
        </is>
      </c>
      <c r="I150" s="10" t="inlineStr">
        <is>
          <t>See cited dossier/report; issuer claims require primary-record verification where identified.</t>
        </is>
      </c>
    </row>
    <row r="151">
      <c r="C151" s="10" t="inlineStr">
        <is>
          <t>SRC-143</t>
        </is>
      </c>
      <c r="D151" s="10" t="inlineStr">
        <is>
          <t>Manufacturer</t>
        </is>
      </c>
      <c r="E151" s="10" t="inlineStr">
        <is>
          <t>06-M06</t>
        </is>
      </c>
      <c r="F151" s="10" t="inlineStr">
        <is>
          <t>/home/ubuntu/george_asia_peptide_due_diligence/manufacturers/06-M06.md</t>
        </is>
      </c>
      <c r="G151" s="18" t="inlineStr">
        <is>
          <t>https://www.edqm.eu/en/databases</t>
        </is>
      </c>
      <c r="H151" s="10" t="inlineStr">
        <is>
          <t>20 August 2026</t>
        </is>
      </c>
      <c r="I151" s="10" t="inlineStr">
        <is>
          <t>See cited dossier/report; issuer claims require primary-record verification where identified.</t>
        </is>
      </c>
    </row>
    <row r="152">
      <c r="C152" s="10" t="inlineStr">
        <is>
          <t>SRC-144</t>
        </is>
      </c>
      <c r="D152" s="10" t="inlineStr">
        <is>
          <t>Manufacturer</t>
        </is>
      </c>
      <c r="E152" s="10" t="inlineStr">
        <is>
          <t>06-M06</t>
        </is>
      </c>
      <c r="F152" s="10" t="inlineStr">
        <is>
          <t>/home/ubuntu/george_asia_peptide_due_diligence/manufacturers/06-M06.md</t>
        </is>
      </c>
      <c r="G152" s="18" t="inlineStr">
        <is>
          <t>https://www.sahpra.org.za/registered-health-products/</t>
        </is>
      </c>
      <c r="H152" s="10" t="inlineStr">
        <is>
          <t>20 August 2026</t>
        </is>
      </c>
      <c r="I152" s="10" t="inlineStr">
        <is>
          <t>See cited dossier/report; issuer claims require primary-record verification where identified.</t>
        </is>
      </c>
    </row>
    <row r="153">
      <c r="C153" s="10" t="inlineStr">
        <is>
          <t>SRC-145</t>
        </is>
      </c>
      <c r="D153" s="10" t="inlineStr">
        <is>
          <t>Manufacturer</t>
        </is>
      </c>
      <c r="E153" s="10" t="inlineStr">
        <is>
          <t>06-M06</t>
        </is>
      </c>
      <c r="F153" s="10" t="inlineStr">
        <is>
          <t>/home/ubuntu/george_asia_peptide_due_diligence/manufacturers/06-M06.md</t>
        </is>
      </c>
      <c r="G153" s="18" t="inlineStr">
        <is>
          <t>https://www.vbshilpa.com/press-releases.php</t>
        </is>
      </c>
      <c r="H153" s="10" t="inlineStr">
        <is>
          <t>20 August 2026</t>
        </is>
      </c>
      <c r="I153" s="10" t="inlineStr">
        <is>
          <t>See cited dossier/report; issuer claims require primary-record verification where identified.</t>
        </is>
      </c>
    </row>
    <row r="154">
      <c r="C154" s="10" t="inlineStr">
        <is>
          <t>SRC-146</t>
        </is>
      </c>
      <c r="D154" s="10" t="inlineStr">
        <is>
          <t>Manufacturer</t>
        </is>
      </c>
      <c r="E154" s="10" t="inlineStr">
        <is>
          <t>06-M06</t>
        </is>
      </c>
      <c r="F154" s="10" t="inlineStr">
        <is>
          <t>/home/ubuntu/george_asia_peptide_due_diligence/manufacturers/06-M06.md</t>
        </is>
      </c>
      <c r="G154" s="18" t="inlineStr">
        <is>
          <t>https://www.vbshilpa.com/peptides-generic.php</t>
        </is>
      </c>
      <c r="H154" s="10" t="inlineStr">
        <is>
          <t>20 August 2026</t>
        </is>
      </c>
      <c r="I154" s="10" t="inlineStr">
        <is>
          <t>See cited dossier/report; issuer claims require primary-record verification where identified.</t>
        </is>
      </c>
    </row>
    <row r="155">
      <c r="C155" s="10" t="inlineStr">
        <is>
          <t>SRC-147</t>
        </is>
      </c>
      <c r="D155" s="10" t="inlineStr">
        <is>
          <t>Manufacturer</t>
        </is>
      </c>
      <c r="E155" s="10" t="inlineStr">
        <is>
          <t>06-M06</t>
        </is>
      </c>
      <c r="F155" s="10" t="inlineStr">
        <is>
          <t>/home/ubuntu/george_asia_peptide_due_diligence/manufacturers/06-M06.md</t>
        </is>
      </c>
      <c r="G155" s="18" t="inlineStr">
        <is>
          <t>https://www.accessdata.fda.gov/drugsatfda_docs/nda/2024/215179Orig1s000OtherActionLtrs.pdf</t>
        </is>
      </c>
      <c r="H155" s="10" t="inlineStr">
        <is>
          <t>20 August 2026</t>
        </is>
      </c>
      <c r="I155" s="10" t="inlineStr">
        <is>
          <t>See cited dossier/report; issuer claims require primary-record verification where identified.</t>
        </is>
      </c>
    </row>
    <row r="156">
      <c r="C156" s="10" t="inlineStr">
        <is>
          <t>SRC-148</t>
        </is>
      </c>
      <c r="D156" s="10" t="inlineStr">
        <is>
          <t>Manufacturer</t>
        </is>
      </c>
      <c r="E156" s="10" t="inlineStr">
        <is>
          <t>07-M07</t>
        </is>
      </c>
      <c r="F156" s="10" t="inlineStr">
        <is>
          <t>/home/ubuntu/george_asia_peptide_due_diligence/manufacturers/07-M07.md</t>
        </is>
      </c>
      <c r="G156" s="18" t="inlineStr">
        <is>
          <t>https://peptistar.com/company/outline/</t>
        </is>
      </c>
      <c r="H156" s="10" t="inlineStr">
        <is>
          <t>20 August 2026</t>
        </is>
      </c>
      <c r="I156" s="10" t="inlineStr">
        <is>
          <t>See cited dossier/report; issuer claims require primary-record verification where identified.</t>
        </is>
      </c>
    </row>
    <row r="157">
      <c r="C157" s="10" t="inlineStr">
        <is>
          <t>SRC-149</t>
        </is>
      </c>
      <c r="D157" s="10" t="inlineStr">
        <is>
          <t>Manufacturer</t>
        </is>
      </c>
      <c r="E157" s="10" t="inlineStr">
        <is>
          <t>07-M07</t>
        </is>
      </c>
      <c r="F157" s="10" t="inlineStr">
        <is>
          <t>/home/ubuntu/george_asia_peptide_due_diligence/manufacturers/07-M07.md</t>
        </is>
      </c>
      <c r="G157" s="18" t="inlineStr">
        <is>
          <t>https://info.gbiz.go.jp/hojin/ichiran?hojinBango=5120901038915</t>
        </is>
      </c>
      <c r="H157" s="10" t="inlineStr">
        <is>
          <t>20 August 2026</t>
        </is>
      </c>
      <c r="I157" s="10" t="inlineStr">
        <is>
          <t>See cited dossier/report; issuer claims require primary-record verification where identified.</t>
        </is>
      </c>
    </row>
    <row r="158">
      <c r="C158" s="10" t="inlineStr">
        <is>
          <t>SRC-150</t>
        </is>
      </c>
      <c r="D158" s="10" t="inlineStr">
        <is>
          <t>Manufacturer</t>
        </is>
      </c>
      <c r="E158" s="10" t="inlineStr">
        <is>
          <t>07-M07</t>
        </is>
      </c>
      <c r="F158" s="10" t="inlineStr">
        <is>
          <t>/home/ubuntu/george_asia_peptide_due_diligence/manufacturers/07-M07.md</t>
        </is>
      </c>
      <c r="G158" s="18" t="inlineStr">
        <is>
          <t>https://www.peptidream.com/en/company/history/</t>
        </is>
      </c>
      <c r="H158" s="10" t="inlineStr">
        <is>
          <t>20 August 2026</t>
        </is>
      </c>
      <c r="I158" s="10" t="inlineStr">
        <is>
          <t>See cited dossier/report; issuer claims require primary-record verification where identified.</t>
        </is>
      </c>
    </row>
    <row r="159">
      <c r="C159" s="10" t="inlineStr">
        <is>
          <t>SRC-151</t>
        </is>
      </c>
      <c r="D159" s="10" t="inlineStr">
        <is>
          <t>Manufacturer</t>
        </is>
      </c>
      <c r="E159" s="10" t="inlineStr">
        <is>
          <t>07-M07</t>
        </is>
      </c>
      <c r="F159" s="10" t="inlineStr">
        <is>
          <t>/home/ubuntu/george_asia_peptide_due_diligence/manufacturers/07-M07.md</t>
        </is>
      </c>
      <c r="G159" s="18" t="inlineStr">
        <is>
          <t>https://contents.xj-storage.jp/xcontents/45870/0f4e7954/5cfb/4ea6/97e3/9737ca27ce47/140120260216562906.pdf</t>
        </is>
      </c>
      <c r="H159" s="10" t="inlineStr">
        <is>
          <t>20 August 2026</t>
        </is>
      </c>
      <c r="I159" s="10" t="inlineStr">
        <is>
          <t>See cited dossier/report; issuer claims require primary-record verification where identified.</t>
        </is>
      </c>
    </row>
    <row r="160">
      <c r="C160" s="10" t="inlineStr">
        <is>
          <t>SRC-152</t>
        </is>
      </c>
      <c r="D160" s="10" t="inlineStr">
        <is>
          <t>Manufacturer</t>
        </is>
      </c>
      <c r="E160" s="10" t="inlineStr">
        <is>
          <t>07-M07</t>
        </is>
      </c>
      <c r="F160" s="10" t="inlineStr">
        <is>
          <t>/home/ubuntu/george_asia_peptide_due_diligence/manufacturers/07-M07.md</t>
        </is>
      </c>
      <c r="G160" s="18" t="inlineStr">
        <is>
          <t>https://peptistar.com/en/news/20241111-2/</t>
        </is>
      </c>
      <c r="H160" s="10" t="inlineStr">
        <is>
          <t>20 August 2026</t>
        </is>
      </c>
      <c r="I160" s="10" t="inlineStr">
        <is>
          <t>See cited dossier/report; issuer claims require primary-record verification where identified.</t>
        </is>
      </c>
    </row>
    <row r="161">
      <c r="C161" s="10" t="inlineStr">
        <is>
          <t>SRC-153</t>
        </is>
      </c>
      <c r="D161" s="10" t="inlineStr">
        <is>
          <t>Manufacturer</t>
        </is>
      </c>
      <c r="E161" s="10" t="inlineStr">
        <is>
          <t>07-M07</t>
        </is>
      </c>
      <c r="F161" s="10" t="inlineStr">
        <is>
          <t>/home/ubuntu/george_asia_peptide_due_diligence/manufacturers/07-M07.md</t>
        </is>
      </c>
      <c r="G161" s="18" t="inlineStr">
        <is>
          <t>https://peptistar.com/en/news/20250326-2/</t>
        </is>
      </c>
      <c r="H161" s="10" t="inlineStr">
        <is>
          <t>20 August 2026</t>
        </is>
      </c>
      <c r="I161" s="10" t="inlineStr">
        <is>
          <t>See cited dossier/report; issuer claims require primary-record verification where identified.</t>
        </is>
      </c>
    </row>
    <row r="162">
      <c r="C162" s="10" t="inlineStr">
        <is>
          <t>SRC-154</t>
        </is>
      </c>
      <c r="D162" s="10" t="inlineStr">
        <is>
          <t>Manufacturer</t>
        </is>
      </c>
      <c r="E162" s="10" t="inlineStr">
        <is>
          <t>07-M07</t>
        </is>
      </c>
      <c r="F162" s="10" t="inlineStr">
        <is>
          <t>/home/ubuntu/george_asia_peptide_due_diligence/manufacturers/07-M07.md</t>
        </is>
      </c>
      <c r="G162" s="18" t="inlineStr">
        <is>
          <t>https://peptistar.com/en/news/20250417-2/</t>
        </is>
      </c>
      <c r="H162" s="10" t="inlineStr">
        <is>
          <t>20 August 2026</t>
        </is>
      </c>
      <c r="I162" s="10" t="inlineStr">
        <is>
          <t>See cited dossier/report; issuer claims require primary-record verification where identified.</t>
        </is>
      </c>
    </row>
    <row r="163">
      <c r="C163" s="10" t="inlineStr">
        <is>
          <t>SRC-155</t>
        </is>
      </c>
      <c r="D163" s="10" t="inlineStr">
        <is>
          <t>Manufacturer</t>
        </is>
      </c>
      <c r="E163" s="10" t="inlineStr">
        <is>
          <t>07-M07</t>
        </is>
      </c>
      <c r="F163" s="10" t="inlineStr">
        <is>
          <t>/home/ubuntu/george_asia_peptide_due_diligence/manufacturers/07-M07.md</t>
        </is>
      </c>
      <c r="G163" s="18" t="inlineStr">
        <is>
          <t>https://peptistar.com/en/service/peptide/</t>
        </is>
      </c>
      <c r="H163" s="10" t="inlineStr">
        <is>
          <t>20 August 2026</t>
        </is>
      </c>
      <c r="I163" s="10" t="inlineStr">
        <is>
          <t>See cited dossier/report; issuer claims require primary-record verification where identified.</t>
        </is>
      </c>
    </row>
    <row r="164">
      <c r="C164" s="10" t="inlineStr">
        <is>
          <t>SRC-156</t>
        </is>
      </c>
      <c r="D164" s="10" t="inlineStr">
        <is>
          <t>Manufacturer</t>
        </is>
      </c>
      <c r="E164" s="10" t="inlineStr">
        <is>
          <t>07-M07</t>
        </is>
      </c>
      <c r="F164" s="10" t="inlineStr">
        <is>
          <t>/home/ubuntu/george_asia_peptide_due_diligence/manufacturers/07-M07.md</t>
        </is>
      </c>
      <c r="G164" s="18" t="inlineStr">
        <is>
          <t>https://peptistar.com/en/technology/</t>
        </is>
      </c>
      <c r="H164" s="10" t="inlineStr">
        <is>
          <t>20 August 2026</t>
        </is>
      </c>
      <c r="I164" s="10" t="inlineStr">
        <is>
          <t>See cited dossier/report; issuer claims require primary-record verification where identified.</t>
        </is>
      </c>
    </row>
    <row r="165">
      <c r="C165" s="10" t="inlineStr">
        <is>
          <t>SRC-157</t>
        </is>
      </c>
      <c r="D165" s="10" t="inlineStr">
        <is>
          <t>Manufacturer</t>
        </is>
      </c>
      <c r="E165" s="10" t="inlineStr">
        <is>
          <t>07-M07</t>
        </is>
      </c>
      <c r="F165" s="10" t="inlineStr">
        <is>
          <t>/home/ubuntu/george_asia_peptide_due_diligence/manufacturers/07-M07.md</t>
        </is>
      </c>
      <c r="G165" s="18" t="inlineStr">
        <is>
          <t>https://peptistar.com/en/facility/manufacturing1/</t>
        </is>
      </c>
      <c r="H165" s="10" t="inlineStr">
        <is>
          <t>20 August 2026</t>
        </is>
      </c>
      <c r="I165" s="10" t="inlineStr">
        <is>
          <t>See cited dossier/report; issuer claims require primary-record verification where identified.</t>
        </is>
      </c>
    </row>
    <row r="166">
      <c r="C166" s="10" t="inlineStr">
        <is>
          <t>SRC-158</t>
        </is>
      </c>
      <c r="D166" s="10" t="inlineStr">
        <is>
          <t>Manufacturer</t>
        </is>
      </c>
      <c r="E166" s="10" t="inlineStr">
        <is>
          <t>07-M07</t>
        </is>
      </c>
      <c r="F166" s="10" t="inlineStr">
        <is>
          <t>/home/ubuntu/george_asia_peptide_due_diligence/manufacturers/07-M07.md</t>
        </is>
      </c>
      <c r="G166" s="18" t="inlineStr">
        <is>
          <t>https://peptistar.com/en/facility/manufacturing2/</t>
        </is>
      </c>
      <c r="H166" s="10" t="inlineStr">
        <is>
          <t>20 August 2026</t>
        </is>
      </c>
      <c r="I166" s="10" t="inlineStr">
        <is>
          <t>See cited dossier/report; issuer claims require primary-record verification where identified.</t>
        </is>
      </c>
    </row>
    <row r="167">
      <c r="C167" s="10" t="inlineStr">
        <is>
          <t>SRC-159</t>
        </is>
      </c>
      <c r="D167" s="10" t="inlineStr">
        <is>
          <t>Manufacturer</t>
        </is>
      </c>
      <c r="E167" s="10" t="inlineStr">
        <is>
          <t>07-M07</t>
        </is>
      </c>
      <c r="F167" s="10" t="inlineStr">
        <is>
          <t>/home/ubuntu/george_asia_peptide_due_diligence/manufacturers/07-M07.md</t>
        </is>
      </c>
      <c r="G167" s="18" t="inlineStr">
        <is>
          <t>https://peptistar.com/en/service/</t>
        </is>
      </c>
      <c r="H167" s="10" t="inlineStr">
        <is>
          <t>20 August 2026</t>
        </is>
      </c>
      <c r="I167" s="10" t="inlineStr">
        <is>
          <t>See cited dossier/report; issuer claims require primary-record verification where identified.</t>
        </is>
      </c>
    </row>
    <row r="168">
      <c r="C168" s="10" t="inlineStr">
        <is>
          <t>SRC-160</t>
        </is>
      </c>
      <c r="D168" s="10" t="inlineStr">
        <is>
          <t>Manufacturer</t>
        </is>
      </c>
      <c r="E168" s="10" t="inlineStr">
        <is>
          <t>07-M07</t>
        </is>
      </c>
      <c r="F168" s="10" t="inlineStr">
        <is>
          <t>/home/ubuntu/george_asia_peptide_due_diligence/manufacturers/07-M07.md</t>
        </is>
      </c>
      <c r="G168" s="18" t="inlineStr">
        <is>
          <t>https://www.fda.gov/drugs/pharmaceutical-quality-resources/inspection-enforcement-resources</t>
        </is>
      </c>
      <c r="H168" s="10" t="inlineStr">
        <is>
          <t>20 August 2026</t>
        </is>
      </c>
      <c r="I168" s="10" t="inlineStr">
        <is>
          <t>See cited dossier/report; issuer claims require primary-record verification where identified.</t>
        </is>
      </c>
    </row>
    <row r="169">
      <c r="C169" s="10" t="inlineStr">
        <is>
          <t>SRC-161</t>
        </is>
      </c>
      <c r="D169" s="10" t="inlineStr">
        <is>
          <t>Manufacturer</t>
        </is>
      </c>
      <c r="E169" s="10" t="inlineStr">
        <is>
          <t>07-M07</t>
        </is>
      </c>
      <c r="F169" s="10" t="inlineStr">
        <is>
          <t>/home/ubuntu/george_asia_peptide_due_diligence/manufacturers/07-M07.md</t>
        </is>
      </c>
      <c r="G169" s="18" t="inlineStr">
        <is>
          <t>https://www.ema.europa.eu/en/human-regulatory-overview/research-development/compliance-research-development/good-manufacturing-practice/eudragmdp-database</t>
        </is>
      </c>
      <c r="H169" s="10" t="inlineStr">
        <is>
          <t>20 August 2026</t>
        </is>
      </c>
      <c r="I169" s="10" t="inlineStr">
        <is>
          <t>See cited dossier/report; issuer claims require primary-record verification where identified.</t>
        </is>
      </c>
    </row>
    <row r="170">
      <c r="C170" s="10" t="inlineStr">
        <is>
          <t>SRC-162</t>
        </is>
      </c>
      <c r="D170" s="10" t="inlineStr">
        <is>
          <t>Manufacturer</t>
        </is>
      </c>
      <c r="E170" s="10" t="inlineStr">
        <is>
          <t>07-M07</t>
        </is>
      </c>
      <c r="F170" s="10" t="inlineStr">
        <is>
          <t>/home/ubuntu/george_asia_peptide_due_diligence/manufacturers/07-M07.md</t>
        </is>
      </c>
      <c r="G170" s="18" t="inlineStr">
        <is>
          <t>https://peptistar.com/en/facility/headquarters/</t>
        </is>
      </c>
      <c r="H170" s="10" t="inlineStr">
        <is>
          <t>20 August 2026</t>
        </is>
      </c>
      <c r="I170" s="10" t="inlineStr">
        <is>
          <t>See cited dossier/report; issuer claims require primary-record verification where identified.</t>
        </is>
      </c>
    </row>
    <row r="171">
      <c r="C171" s="10" t="inlineStr">
        <is>
          <t>SRC-163</t>
        </is>
      </c>
      <c r="D171" s="10" t="inlineStr">
        <is>
          <t>Manufacturer</t>
        </is>
      </c>
      <c r="E171" s="10" t="inlineStr">
        <is>
          <t>07-M07</t>
        </is>
      </c>
      <c r="F171" s="10" t="inlineStr">
        <is>
          <t>/home/ubuntu/george_asia_peptide_due_diligence/manufacturers/07-M07.md</t>
        </is>
      </c>
      <c r="G171" s="18" t="inlineStr">
        <is>
          <t>https://peptistar.com/en/facility/</t>
        </is>
      </c>
      <c r="H171" s="10" t="inlineStr">
        <is>
          <t>20 August 2026</t>
        </is>
      </c>
      <c r="I171" s="10" t="inlineStr">
        <is>
          <t>See cited dossier/report; issuer claims require primary-record verification where identified.</t>
        </is>
      </c>
    </row>
    <row r="172">
      <c r="C172" s="10" t="inlineStr">
        <is>
          <t>SRC-164</t>
        </is>
      </c>
      <c r="D172" s="10" t="inlineStr">
        <is>
          <t>Manufacturer</t>
        </is>
      </c>
      <c r="E172" s="10" t="inlineStr">
        <is>
          <t>07-M07</t>
        </is>
      </c>
      <c r="F172" s="10" t="inlineStr">
        <is>
          <t>/home/ubuntu/george_asia_peptide_due_diligence/manufacturers/07-M07.md</t>
        </is>
      </c>
      <c r="G172" s="18" t="inlineStr">
        <is>
          <t>https://www.sumitomo-chem.co.jp/english/news/detail/20241111e.html</t>
        </is>
      </c>
      <c r="H172" s="10" t="inlineStr">
        <is>
          <t>20 August 2026</t>
        </is>
      </c>
      <c r="I172" s="10" t="inlineStr">
        <is>
          <t>See cited dossier/report; issuer claims require primary-record verification where identified.</t>
        </is>
      </c>
    </row>
    <row r="173">
      <c r="C173" s="10" t="inlineStr">
        <is>
          <t>SRC-165</t>
        </is>
      </c>
      <c r="D173" s="10" t="inlineStr">
        <is>
          <t>Manufacturer</t>
        </is>
      </c>
      <c r="E173" s="10" t="inlineStr">
        <is>
          <t>07-M07</t>
        </is>
      </c>
      <c r="F173" s="10" t="inlineStr">
        <is>
          <t>/home/ubuntu/george_asia_peptide_due_diligence/manufacturers/07-M07.md</t>
        </is>
      </c>
      <c r="G173" s="18" t="inlineStr">
        <is>
          <t>https://peptistar.com/en/service/analysis/</t>
        </is>
      </c>
      <c r="H173" s="10" t="inlineStr">
        <is>
          <t>20 August 2026</t>
        </is>
      </c>
      <c r="I173" s="10" t="inlineStr">
        <is>
          <t>See cited dossier/report; issuer claims require primary-record verification where identified.</t>
        </is>
      </c>
    </row>
    <row r="174">
      <c r="C174" s="10" t="inlineStr">
        <is>
          <t>SRC-166</t>
        </is>
      </c>
      <c r="D174" s="10" t="inlineStr">
        <is>
          <t>Manufacturer</t>
        </is>
      </c>
      <c r="E174" s="10" t="inlineStr">
        <is>
          <t>07-M07</t>
        </is>
      </c>
      <c r="F174" s="10" t="inlineStr">
        <is>
          <t>/home/ubuntu/george_asia_peptide_due_diligence/manufacturers/07-M07.md</t>
        </is>
      </c>
      <c r="G174" s="18" t="inlineStr">
        <is>
          <t>https://peptistar.com/en/service/cmc/</t>
        </is>
      </c>
      <c r="H174" s="10" t="inlineStr">
        <is>
          <t>20 August 2026</t>
        </is>
      </c>
      <c r="I174" s="10" t="inlineStr">
        <is>
          <t>See cited dossier/report; issuer claims require primary-record verification where identified.</t>
        </is>
      </c>
    </row>
    <row r="175">
      <c r="C175" s="10" t="inlineStr">
        <is>
          <t>SRC-167</t>
        </is>
      </c>
      <c r="D175" s="10" t="inlineStr">
        <is>
          <t>Manufacturer</t>
        </is>
      </c>
      <c r="E175" s="10" t="inlineStr">
        <is>
          <t>07-M07</t>
        </is>
      </c>
      <c r="F175" s="10" t="inlineStr">
        <is>
          <t>/home/ubuntu/george_asia_peptide_due_diligence/manufacturers/07-M07.md</t>
        </is>
      </c>
      <c r="G175" s="18" t="inlineStr">
        <is>
          <t>https://peptistar.com/en/</t>
        </is>
      </c>
      <c r="H175" s="10" t="inlineStr">
        <is>
          <t>20 August 2026</t>
        </is>
      </c>
      <c r="I175" s="10" t="inlineStr">
        <is>
          <t>See cited dossier/report; issuer claims require primary-record verification where identified.</t>
        </is>
      </c>
    </row>
    <row r="176">
      <c r="C176" s="10" t="inlineStr">
        <is>
          <t>SRC-168</t>
        </is>
      </c>
      <c r="D176" s="10" t="inlineStr">
        <is>
          <t>Manufacturer</t>
        </is>
      </c>
      <c r="E176" s="10" t="inlineStr">
        <is>
          <t>07-M07</t>
        </is>
      </c>
      <c r="F176" s="10" t="inlineStr">
        <is>
          <t>/home/ubuntu/george_asia_peptide_due_diligence/manufacturers/07-M07.md</t>
        </is>
      </c>
      <c r="G176" s="18" t="inlineStr">
        <is>
          <t>https://peptistar.com/en/technology/microwave/</t>
        </is>
      </c>
      <c r="H176" s="10" t="inlineStr">
        <is>
          <t>20 August 2026</t>
        </is>
      </c>
      <c r="I176" s="10" t="inlineStr">
        <is>
          <t>See cited dossier/report; issuer claims require primary-record verification where identified.</t>
        </is>
      </c>
    </row>
    <row r="177">
      <c r="C177" s="10" t="inlineStr">
        <is>
          <t>SRC-169</t>
        </is>
      </c>
      <c r="D177" s="10" t="inlineStr">
        <is>
          <t>Manufacturer</t>
        </is>
      </c>
      <c r="E177" s="10" t="inlineStr">
        <is>
          <t>07-M07</t>
        </is>
      </c>
      <c r="F177" s="10" t="inlineStr">
        <is>
          <t>/home/ubuntu/george_asia_peptide_due_diligence/manufacturers/07-M07.md</t>
        </is>
      </c>
      <c r="G177" s="18" t="inlineStr">
        <is>
          <t>https://peptistar.com/en/technology/stagps/</t>
        </is>
      </c>
      <c r="H177" s="10" t="inlineStr">
        <is>
          <t>20 August 2026</t>
        </is>
      </c>
      <c r="I177" s="10" t="inlineStr">
        <is>
          <t>See cited dossier/report; issuer claims require primary-record verification where identified.</t>
        </is>
      </c>
    </row>
    <row r="178">
      <c r="C178" s="10" t="inlineStr">
        <is>
          <t>SRC-170</t>
        </is>
      </c>
      <c r="D178" s="10" t="inlineStr">
        <is>
          <t>Manufacturer</t>
        </is>
      </c>
      <c r="E178" s="10" t="inlineStr">
        <is>
          <t>07-M07</t>
        </is>
      </c>
      <c r="F178" s="10" t="inlineStr">
        <is>
          <t>/home/ubuntu/george_asia_peptide_due_diligence/manufacturers/07-M07.md</t>
        </is>
      </c>
      <c r="G178" s="18" t="inlineStr">
        <is>
          <t>https://peptistar.com/en/technology/syncsol/</t>
        </is>
      </c>
      <c r="H178" s="10" t="inlineStr">
        <is>
          <t>20 August 2026</t>
        </is>
      </c>
      <c r="I178" s="10" t="inlineStr">
        <is>
          <t>See cited dossier/report; issuer claims require primary-record verification where identified.</t>
        </is>
      </c>
    </row>
    <row r="179">
      <c r="C179" s="10" t="inlineStr">
        <is>
          <t>SRC-171</t>
        </is>
      </c>
      <c r="D179" s="10" t="inlineStr">
        <is>
          <t>Manufacturer</t>
        </is>
      </c>
      <c r="E179" s="10" t="inlineStr">
        <is>
          <t>07-M07</t>
        </is>
      </c>
      <c r="F179" s="10" t="inlineStr">
        <is>
          <t>/home/ubuntu/george_asia_peptide_due_diligence/manufacturers/07-M07.md</t>
        </is>
      </c>
      <c r="G179" s="18" t="inlineStr">
        <is>
          <t>https://peptistar.com/en/technology/hilic/</t>
        </is>
      </c>
      <c r="H179" s="10" t="inlineStr">
        <is>
          <t>20 August 2026</t>
        </is>
      </c>
      <c r="I179" s="10" t="inlineStr">
        <is>
          <t>See cited dossier/report; issuer claims require primary-record verification where identified.</t>
        </is>
      </c>
    </row>
    <row r="180">
      <c r="C180" s="10" t="inlineStr">
        <is>
          <t>SRC-172</t>
        </is>
      </c>
      <c r="D180" s="10" t="inlineStr">
        <is>
          <t>Manufacturer</t>
        </is>
      </c>
      <c r="E180" s="10" t="inlineStr">
        <is>
          <t>07-M07</t>
        </is>
      </c>
      <c r="F180" s="10" t="inlineStr">
        <is>
          <t>/home/ubuntu/george_asia_peptide_due_diligence/manufacturers/07-M07.md</t>
        </is>
      </c>
      <c r="G180" s="18" t="inlineStr">
        <is>
          <t>https://peptistar.com/en/technology/mcsgp/</t>
        </is>
      </c>
      <c r="H180" s="10" t="inlineStr">
        <is>
          <t>20 August 2026</t>
        </is>
      </c>
      <c r="I180" s="10" t="inlineStr">
        <is>
          <t>See cited dossier/report; issuer claims require primary-record verification where identified.</t>
        </is>
      </c>
    </row>
    <row r="181">
      <c r="C181" s="10" t="inlineStr">
        <is>
          <t>SRC-173</t>
        </is>
      </c>
      <c r="D181" s="10" t="inlineStr">
        <is>
          <t>Manufacturer</t>
        </is>
      </c>
      <c r="E181" s="10" t="inlineStr">
        <is>
          <t>07-M07</t>
        </is>
      </c>
      <c r="F181" s="10" t="inlineStr">
        <is>
          <t>/home/ubuntu/george_asia_peptide_due_diligence/manufacturers/07-M07.md</t>
        </is>
      </c>
      <c r="G181" s="18" t="inlineStr">
        <is>
          <t>https://peptistar.com/en/technology/lyophilization/</t>
        </is>
      </c>
      <c r="H181" s="10" t="inlineStr">
        <is>
          <t>20 August 2026</t>
        </is>
      </c>
      <c r="I181" s="10" t="inlineStr">
        <is>
          <t>See cited dossier/report; issuer claims require primary-record verification where identified.</t>
        </is>
      </c>
    </row>
    <row r="182">
      <c r="C182" s="10" t="inlineStr">
        <is>
          <t>SRC-174</t>
        </is>
      </c>
      <c r="D182" s="10" t="inlineStr">
        <is>
          <t>Manufacturer</t>
        </is>
      </c>
      <c r="E182" s="10" t="inlineStr">
        <is>
          <t>07-M07</t>
        </is>
      </c>
      <c r="F182" s="10" t="inlineStr">
        <is>
          <t>/home/ubuntu/george_asia_peptide_due_diligence/manufacturers/07-M07.md</t>
        </is>
      </c>
      <c r="G182" s="18" t="inlineStr">
        <is>
          <t>https://www.asahi-kasei.com/news/2026/e260625</t>
        </is>
      </c>
      <c r="H182" s="10" t="inlineStr">
        <is>
          <t>20 August 2026</t>
        </is>
      </c>
      <c r="I182" s="10" t="inlineStr">
        <is>
          <t>See cited dossier/report; issuer claims require primary-record verification where identified.</t>
        </is>
      </c>
    </row>
    <row r="183">
      <c r="C183" s="10" t="inlineStr">
        <is>
          <t>SRC-175</t>
        </is>
      </c>
      <c r="D183" s="10" t="inlineStr">
        <is>
          <t>Manufacturer</t>
        </is>
      </c>
      <c r="E183" s="10" t="inlineStr">
        <is>
          <t>07-M07</t>
        </is>
      </c>
      <c r="F183" s="10" t="inlineStr">
        <is>
          <t>/home/ubuntu/george_asia_peptide_due_diligence/manufacturers/07-M07.md</t>
        </is>
      </c>
      <c r="G183" s="18" t="inlineStr">
        <is>
          <t>https://peptistar.com/en/quality/</t>
        </is>
      </c>
      <c r="H183" s="10" t="inlineStr">
        <is>
          <t>20 August 2026</t>
        </is>
      </c>
      <c r="I183" s="10" t="inlineStr">
        <is>
          <t>See cited dossier/report; issuer claims require primary-record verification where identified.</t>
        </is>
      </c>
    </row>
    <row r="184">
      <c r="C184" s="10" t="inlineStr">
        <is>
          <t>SRC-176</t>
        </is>
      </c>
      <c r="D184" s="10" t="inlineStr">
        <is>
          <t>Manufacturer</t>
        </is>
      </c>
      <c r="E184" s="10" t="inlineStr">
        <is>
          <t>08-M08</t>
        </is>
      </c>
      <c r="F184" s="10" t="inlineStr">
        <is>
          <t>/home/ubuntu/george_asia_peptide_due_diligence/manufacturers/08-M08.md</t>
        </is>
      </c>
      <c r="G184" s="18" t="inlineStr">
        <is>
          <t>https://www.ajibio-pharma.com/news-post/ajinomoto-althea-and-omnichem-combine-to-form-ajinomoto-bio-pharma-services-reflecting-a-collective-range-of-services-offered-to-the-bio-pharma-industry/</t>
        </is>
      </c>
      <c r="H184" s="10" t="inlineStr">
        <is>
          <t>20 August 2026</t>
        </is>
      </c>
      <c r="I184" s="10" t="inlineStr">
        <is>
          <t>See cited dossier/report; issuer claims require primary-record verification where identified.</t>
        </is>
      </c>
    </row>
    <row r="185">
      <c r="C185" s="10" t="inlineStr">
        <is>
          <t>SRC-177</t>
        </is>
      </c>
      <c r="D185" s="10" t="inlineStr">
        <is>
          <t>Manufacturer</t>
        </is>
      </c>
      <c r="E185" s="10" t="inlineStr">
        <is>
          <t>08-M08</t>
        </is>
      </c>
      <c r="F185" s="10" t="inlineStr">
        <is>
          <t>/home/ubuntu/george_asia_peptide_due_diligence/manufacturers/08-M08.md</t>
        </is>
      </c>
      <c r="G185" s="18" t="inlineStr">
        <is>
          <t>https://www.ajioligos.com/en/about/specialists-in-oligonucleotides/</t>
        </is>
      </c>
      <c r="H185" s="10" t="inlineStr">
        <is>
          <t>20 August 2026</t>
        </is>
      </c>
      <c r="I185" s="10" t="inlineStr">
        <is>
          <t>See cited dossier/report; issuer claims require primary-record verification where identified.</t>
        </is>
      </c>
    </row>
    <row r="186">
      <c r="C186" s="10" t="inlineStr">
        <is>
          <t>SRC-178</t>
        </is>
      </c>
      <c r="D186" s="10" t="inlineStr">
        <is>
          <t>Manufacturer</t>
        </is>
      </c>
      <c r="E186" s="10" t="inlineStr">
        <is>
          <t>08-M08</t>
        </is>
      </c>
      <c r="F186" s="10" t="inlineStr">
        <is>
          <t>/home/ubuntu/george_asia_peptide_due_diligence/manufacturers/08-M08.md</t>
        </is>
      </c>
      <c r="G186" s="18" t="inlineStr">
        <is>
          <t>https://www.ajinomoto.com/aboutus/global_network</t>
        </is>
      </c>
      <c r="H186" s="10" t="inlineStr">
        <is>
          <t>20 August 2026</t>
        </is>
      </c>
      <c r="I186" s="10" t="inlineStr">
        <is>
          <t>See cited dossier/report; issuer claims require primary-record verification where identified.</t>
        </is>
      </c>
    </row>
    <row r="187">
      <c r="C187" s="10" t="inlineStr">
        <is>
          <t>SRC-179</t>
        </is>
      </c>
      <c r="D187" s="10" t="inlineStr">
        <is>
          <t>Manufacturer</t>
        </is>
      </c>
      <c r="E187" s="10" t="inlineStr">
        <is>
          <t>08-M08</t>
        </is>
      </c>
      <c r="F187" s="10" t="inlineStr">
        <is>
          <t>/home/ubuntu/george_asia_peptide_due_diligence/manufacturers/08-M08.md</t>
        </is>
      </c>
      <c r="G187" s="18" t="inlineStr">
        <is>
          <t>https://www.ajibio-pharma.com/contact-us/japan/</t>
        </is>
      </c>
      <c r="H187" s="10" t="inlineStr">
        <is>
          <t>20 August 2026</t>
        </is>
      </c>
      <c r="I187" s="10" t="inlineStr">
        <is>
          <t>See cited dossier/report; issuer claims require primary-record verification where identified.</t>
        </is>
      </c>
    </row>
    <row r="188">
      <c r="C188" s="10" t="inlineStr">
        <is>
          <t>SRC-180</t>
        </is>
      </c>
      <c r="D188" s="10" t="inlineStr">
        <is>
          <t>Manufacturer</t>
        </is>
      </c>
      <c r="E188" s="10" t="inlineStr">
        <is>
          <t>08-M08</t>
        </is>
      </c>
      <c r="F188" s="10" t="inlineStr">
        <is>
          <t>/home/ubuntu/george_asia_peptide_due_diligence/manufacturers/08-M08.md</t>
        </is>
      </c>
      <c r="G188" s="18" t="inlineStr">
        <is>
          <t>https://www.ajibio-pharma.com/cdmo-services/oligo-peptide-synthesis/ajiphase-synthesis/</t>
        </is>
      </c>
      <c r="H188" s="10" t="inlineStr">
        <is>
          <t>20 August 2026</t>
        </is>
      </c>
      <c r="I188" s="10" t="inlineStr">
        <is>
          <t>See cited dossier/report; issuer claims require primary-record verification where identified.</t>
        </is>
      </c>
    </row>
    <row r="189">
      <c r="C189" s="10" t="inlineStr">
        <is>
          <t>SRC-181</t>
        </is>
      </c>
      <c r="D189" s="10" t="inlineStr">
        <is>
          <t>Manufacturer</t>
        </is>
      </c>
      <c r="E189" s="10" t="inlineStr">
        <is>
          <t>08-M08</t>
        </is>
      </c>
      <c r="F189" s="10" t="inlineStr">
        <is>
          <t>/home/ubuntu/george_asia_peptide_due_diligence/manufacturers/08-M08.md</t>
        </is>
      </c>
      <c r="G189" s="18" t="inlineStr">
        <is>
          <t>https://www.ajibio-pharma.com/cdmo-services/oligo-peptide-synthesis/</t>
        </is>
      </c>
      <c r="H189" s="10" t="inlineStr">
        <is>
          <t>20 August 2026</t>
        </is>
      </c>
      <c r="I189" s="10" t="inlineStr">
        <is>
          <t>See cited dossier/report; issuer claims require primary-record verification where identified.</t>
        </is>
      </c>
    </row>
    <row r="190">
      <c r="C190" s="10" t="inlineStr">
        <is>
          <t>SRC-182</t>
        </is>
      </c>
      <c r="D190" s="10" t="inlineStr">
        <is>
          <t>Manufacturer</t>
        </is>
      </c>
      <c r="E190" s="10" t="inlineStr">
        <is>
          <t>08-M08</t>
        </is>
      </c>
      <c r="F190" s="10" t="inlineStr">
        <is>
          <t>/home/ubuntu/george_asia_peptide_due_diligence/manufacturers/08-M08.md</t>
        </is>
      </c>
      <c r="G190" s="18" t="inlineStr">
        <is>
          <t>https://www.ajibio-pharma.com/cdmo-services/oligo-peptide-synthesis/solid-phase-synthesis/</t>
        </is>
      </c>
      <c r="H190" s="10" t="inlineStr">
        <is>
          <t>20 August 2026</t>
        </is>
      </c>
      <c r="I190" s="10" t="inlineStr">
        <is>
          <t>See cited dossier/report; issuer claims require primary-record verification where identified.</t>
        </is>
      </c>
    </row>
    <row r="191">
      <c r="C191" s="10" t="inlineStr">
        <is>
          <t>SRC-183</t>
        </is>
      </c>
      <c r="D191" s="10" t="inlineStr">
        <is>
          <t>Manufacturer</t>
        </is>
      </c>
      <c r="E191" s="10" t="inlineStr">
        <is>
          <t>08-M08</t>
        </is>
      </c>
      <c r="F191" s="10" t="inlineStr">
        <is>
          <t>/home/ubuntu/george_asia_peptide_due_diligence/manufacturers/08-M08.md</t>
        </is>
      </c>
      <c r="G191" s="18" t="inlineStr">
        <is>
          <t>https://www.ajibio-pharma.com/news-post/genedesign-joins-ajinomoto-bio-pharma-services-and-opens-oligonucleotide-api-development-center/</t>
        </is>
      </c>
      <c r="H191" s="10" t="inlineStr">
        <is>
          <t>20 August 2026</t>
        </is>
      </c>
      <c r="I191" s="10" t="inlineStr">
        <is>
          <t>See cited dossier/report; issuer claims require primary-record verification where identified.</t>
        </is>
      </c>
    </row>
    <row r="192">
      <c r="C192" s="10" t="inlineStr">
        <is>
          <t>SRC-184</t>
        </is>
      </c>
      <c r="D192" s="10" t="inlineStr">
        <is>
          <t>Manufacturer</t>
        </is>
      </c>
      <c r="E192" s="10" t="inlineStr">
        <is>
          <t>08-M08</t>
        </is>
      </c>
      <c r="F192" s="10" t="inlineStr">
        <is>
          <t>/home/ubuntu/george_asia_peptide_due_diligence/manufacturers/08-M08.md</t>
        </is>
      </c>
      <c r="G192" s="18" t="inlineStr">
        <is>
          <t>https://www.ajibio-pharma.com/news-post/first-commercial-drug-manufactured-via-ajinomoto-bio-pharma-services-ajiphase-technology-receives-fda-approval/</t>
        </is>
      </c>
      <c r="H192" s="10" t="inlineStr">
        <is>
          <t>20 August 2026</t>
        </is>
      </c>
      <c r="I192" s="10" t="inlineStr">
        <is>
          <t>See cited dossier/report; issuer claims require primary-record verification where identified.</t>
        </is>
      </c>
    </row>
    <row r="193">
      <c r="C193" s="10" t="inlineStr">
        <is>
          <t>SRC-185</t>
        </is>
      </c>
      <c r="D193" s="10" t="inlineStr">
        <is>
          <t>Manufacturer</t>
        </is>
      </c>
      <c r="E193" s="10" t="inlineStr">
        <is>
          <t>08-M08</t>
        </is>
      </c>
      <c r="F193" s="10" t="inlineStr">
        <is>
          <t>/home/ubuntu/george_asia_peptide_due_diligence/manufacturers/08-M08.md</t>
        </is>
      </c>
      <c r="G193" s="18" t="inlineStr">
        <is>
          <t>https://www.fda.gov/drugs/cder-foia-electronic-reading-room/ajinomoto-company-inc-02212025</t>
        </is>
      </c>
      <c r="H193" s="10" t="inlineStr">
        <is>
          <t>20 August 2026</t>
        </is>
      </c>
      <c r="I193" s="10" t="inlineStr">
        <is>
          <t>See cited dossier/report; issuer claims require primary-record verification where identified.</t>
        </is>
      </c>
    </row>
    <row r="194">
      <c r="C194" s="10" t="inlineStr">
        <is>
          <t>SRC-186</t>
        </is>
      </c>
      <c r="D194" s="10" t="inlineStr">
        <is>
          <t>Manufacturer</t>
        </is>
      </c>
      <c r="E194" s="10" t="inlineStr">
        <is>
          <t>08-M08</t>
        </is>
      </c>
      <c r="F194" s="10" t="inlineStr">
        <is>
          <t>/home/ubuntu/george_asia_peptide_due_diligence/manufacturers/08-M08.md</t>
        </is>
      </c>
      <c r="G194" s="18" t="inlineStr">
        <is>
          <t>https://projects.propublica.org/rx-inspector/facilities/3002806336/</t>
        </is>
      </c>
      <c r="H194" s="10" t="inlineStr">
        <is>
          <t>20 August 2026</t>
        </is>
      </c>
      <c r="I194" s="10" t="inlineStr">
        <is>
          <t>See cited dossier/report; issuer claims require primary-record verification where identified.</t>
        </is>
      </c>
    </row>
    <row r="195">
      <c r="C195" s="10" t="inlineStr">
        <is>
          <t>SRC-187</t>
        </is>
      </c>
      <c r="D195" s="10" t="inlineStr">
        <is>
          <t>Manufacturer</t>
        </is>
      </c>
      <c r="E195" s="10" t="inlineStr">
        <is>
          <t>08-M08</t>
        </is>
      </c>
      <c r="F195" s="10" t="inlineStr">
        <is>
          <t>/home/ubuntu/george_asia_peptide_due_diligence/manufacturers/08-M08.md</t>
        </is>
      </c>
      <c r="G195" s="18" t="inlineStr">
        <is>
          <t>https://www.ajibio-pharma.com/news-post/ajinomoto-co-inc-to-sell-its-entire-equity-stake-in-ajinomoto-althea-a-us-based-aseptic-fill-finish-cdmo/</t>
        </is>
      </c>
      <c r="H195" s="10" t="inlineStr">
        <is>
          <t>20 August 2026</t>
        </is>
      </c>
      <c r="I195" s="10" t="inlineStr">
        <is>
          <t>See cited dossier/report; issuer claims require primary-record verification where identified.</t>
        </is>
      </c>
    </row>
    <row r="196">
      <c r="C196" s="10" t="inlineStr">
        <is>
          <t>SRC-188</t>
        </is>
      </c>
      <c r="D196" s="10" t="inlineStr">
        <is>
          <t>Manufacturer</t>
        </is>
      </c>
      <c r="E196" s="10" t="inlineStr">
        <is>
          <t>08-M08</t>
        </is>
      </c>
      <c r="F196" s="10" t="inlineStr">
        <is>
          <t>/home/ubuntu/george_asia_peptide_due_diligence/manufacturers/08-M08.md</t>
        </is>
      </c>
      <c r="G196" s="18" t="inlineStr">
        <is>
          <t>https://www.ajinomoto.co.jp/company/en/presscenter/press/detail/g2016_12_09.html</t>
        </is>
      </c>
      <c r="H196" s="10" t="inlineStr">
        <is>
          <t>20 August 2026</t>
        </is>
      </c>
      <c r="I196" s="10" t="inlineStr">
        <is>
          <t>See cited dossier/report; issuer claims require primary-record verification where identified.</t>
        </is>
      </c>
    </row>
    <row r="197">
      <c r="C197" s="10" t="inlineStr">
        <is>
          <t>SRC-189</t>
        </is>
      </c>
      <c r="D197" s="10" t="inlineStr">
        <is>
          <t>Manufacturer</t>
        </is>
      </c>
      <c r="E197" s="10" t="inlineStr">
        <is>
          <t>08-M08</t>
        </is>
      </c>
      <c r="F197" s="10" t="inlineStr">
        <is>
          <t>/home/ubuntu/george_asia_peptide_due_diligence/manufacturers/08-M08.md</t>
        </is>
      </c>
      <c r="G197" s="18" t="inlineStr">
        <is>
          <t>https://www.ajibio-pharma.com/news-post/ajinomoto-bio-pharma-services-and-olon-s-p-a-form-strategic-partnership-to-advance-large-scale-peptide-and-protein-manufacturing/</t>
        </is>
      </c>
      <c r="H197" s="10" t="inlineStr">
        <is>
          <t>20 August 2026</t>
        </is>
      </c>
      <c r="I197" s="10" t="inlineStr">
        <is>
          <t>See cited dossier/report; issuer claims require primary-record verification where identified.</t>
        </is>
      </c>
    </row>
    <row r="198">
      <c r="C198" s="10" t="inlineStr">
        <is>
          <t>SRC-190</t>
        </is>
      </c>
      <c r="D198" s="10" t="inlineStr">
        <is>
          <t>Manufacturer</t>
        </is>
      </c>
      <c r="E198" s="10" t="inlineStr">
        <is>
          <t>08-M08</t>
        </is>
      </c>
      <c r="F198" s="10" t="inlineStr">
        <is>
          <t>/home/ubuntu/george_asia_peptide_due_diligence/manufacturers/08-M08.md</t>
        </is>
      </c>
      <c r="G198" s="18" t="inlineStr">
        <is>
          <t>https://ajibio-pharma.ajinomoto.com/corynex/</t>
        </is>
      </c>
      <c r="H198" s="10" t="inlineStr">
        <is>
          <t>20 August 2026</t>
        </is>
      </c>
      <c r="I198" s="10" t="inlineStr">
        <is>
          <t>See cited dossier/report; issuer claims require primary-record verification where identified.</t>
        </is>
      </c>
    </row>
    <row r="199">
      <c r="C199" s="10" t="inlineStr">
        <is>
          <t>SRC-191</t>
        </is>
      </c>
      <c r="D199" s="10" t="inlineStr">
        <is>
          <t>Manufacturer</t>
        </is>
      </c>
      <c r="E199" s="10" t="inlineStr">
        <is>
          <t>08-M08</t>
        </is>
      </c>
      <c r="F199" s="10" t="inlineStr">
        <is>
          <t>/home/ubuntu/george_asia_peptide_due_diligence/manufacturers/08-M08.md</t>
        </is>
      </c>
      <c r="G199" s="18" t="inlineStr">
        <is>
          <t>https://www.fda.gov/about-fda/fda-commissioner/ajinomoto-althea-inc-dba-ajinomoto-bio-pharma-services-san-diego-ca-483-issued-01162023</t>
        </is>
      </c>
      <c r="H199" s="10" t="inlineStr">
        <is>
          <t>20 August 2026</t>
        </is>
      </c>
      <c r="I199" s="10" t="inlineStr">
        <is>
          <t>See cited dossier/report; issuer claims require primary-record verification where identified.</t>
        </is>
      </c>
    </row>
    <row r="200">
      <c r="C200" s="10" t="inlineStr">
        <is>
          <t>SRC-192</t>
        </is>
      </c>
      <c r="D200" s="10" t="inlineStr">
        <is>
          <t>Manufacturer</t>
        </is>
      </c>
      <c r="E200" s="10" t="inlineStr">
        <is>
          <t>08-M08</t>
        </is>
      </c>
      <c r="F200" s="10" t="inlineStr">
        <is>
          <t>/home/ubuntu/george_asia_peptide_due_diligence/manufacturers/08-M08.md</t>
        </is>
      </c>
      <c r="G200" s="18" t="inlineStr">
        <is>
          <t>https://www.ajibio-pharma.com/dedication-to-quality/quality-management/</t>
        </is>
      </c>
      <c r="H200" s="10" t="inlineStr">
        <is>
          <t>20 August 2026</t>
        </is>
      </c>
      <c r="I200" s="10" t="inlineStr">
        <is>
          <t>See cited dossier/report; issuer claims require primary-record verification where identified.</t>
        </is>
      </c>
    </row>
    <row r="201">
      <c r="C201" s="10" t="inlineStr">
        <is>
          <t>SRC-193</t>
        </is>
      </c>
      <c r="D201" s="10" t="inlineStr">
        <is>
          <t>Manufacturer</t>
        </is>
      </c>
      <c r="E201" s="10" t="inlineStr">
        <is>
          <t>08-M08</t>
        </is>
      </c>
      <c r="F201" s="10" t="inlineStr">
        <is>
          <t>/home/ubuntu/george_asia_peptide_due_diligence/manufacturers/08-M08.md</t>
        </is>
      </c>
      <c r="G201" s="18" t="inlineStr">
        <is>
          <t>https://www.ajibio-pharma.com/dedication-to-quality/regulatory-excellence/</t>
        </is>
      </c>
      <c r="H201" s="10" t="inlineStr">
        <is>
          <t>20 August 2026</t>
        </is>
      </c>
      <c r="I201" s="10" t="inlineStr">
        <is>
          <t>See cited dossier/report; issuer claims require primary-record verification where identified.</t>
        </is>
      </c>
    </row>
    <row r="202">
      <c r="C202" s="10" t="inlineStr">
        <is>
          <t>SRC-194</t>
        </is>
      </c>
      <c r="D202" s="10" t="inlineStr">
        <is>
          <t>Manufacturer</t>
        </is>
      </c>
      <c r="E202" s="10" t="inlineStr">
        <is>
          <t>08-M08</t>
        </is>
      </c>
      <c r="F202" s="10" t="inlineStr">
        <is>
          <t>/home/ubuntu/george_asia_peptide_due_diligence/manufacturers/08-M08.md</t>
        </is>
      </c>
      <c r="G202" s="18" t="inlineStr">
        <is>
          <t>https://www.ajibio-pharma.com/cdmo-services/oligo-peptide-synthesis/product-quality-analytical-testing/</t>
        </is>
      </c>
      <c r="H202" s="10" t="inlineStr">
        <is>
          <t>20 August 2026</t>
        </is>
      </c>
      <c r="I202" s="10" t="inlineStr">
        <is>
          <t>See cited dossier/report; issuer claims require primary-record verification where identified.</t>
        </is>
      </c>
    </row>
    <row r="203">
      <c r="C203" s="10" t="inlineStr">
        <is>
          <t>SRC-195</t>
        </is>
      </c>
      <c r="D203" s="10" t="inlineStr">
        <is>
          <t>Manufacturer</t>
        </is>
      </c>
      <c r="E203" s="10" t="inlineStr">
        <is>
          <t>08-M08</t>
        </is>
      </c>
      <c r="F203" s="10" t="inlineStr">
        <is>
          <t>/home/ubuntu/george_asia_peptide_due_diligence/manufacturers/08-M08.md</t>
        </is>
      </c>
      <c r="G203" s="18" t="inlineStr">
        <is>
          <t>https://www.ajibio-pharma.com/cdmo-services/oligo-peptide-synthesis/process-development/</t>
        </is>
      </c>
      <c r="H203" s="10" t="inlineStr">
        <is>
          <t>20 August 2026</t>
        </is>
      </c>
      <c r="I203" s="10" t="inlineStr">
        <is>
          <t>See cited dossier/report; issuer claims require primary-record verification where identified.</t>
        </is>
      </c>
    </row>
    <row r="204">
      <c r="C204" s="10" t="inlineStr">
        <is>
          <t>SRC-196</t>
        </is>
      </c>
      <c r="D204" s="10" t="inlineStr">
        <is>
          <t>Manufacturer</t>
        </is>
      </c>
      <c r="E204" s="10" t="inlineStr">
        <is>
          <t>09-M09</t>
        </is>
      </c>
      <c r="F204" s="10" t="inlineStr">
        <is>
          <t>/home/ubuntu/george_asia_peptide_due_diligence/manufacturers/09-M09.md</t>
        </is>
      </c>
      <c r="G204" s="18" t="inlineStr">
        <is>
          <t>https://kind.krx.co.kr/external/2026/05/15/002059/20260515004562/11013.htm</t>
        </is>
      </c>
      <c r="H204" s="10" t="inlineStr">
        <is>
          <t>20 August 2026</t>
        </is>
      </c>
      <c r="I204" s="10" t="inlineStr">
        <is>
          <t>See cited dossier/report; issuer claims require primary-record verification where identified.</t>
        </is>
      </c>
    </row>
    <row r="205">
      <c r="C205" s="10" t="inlineStr">
        <is>
          <t>SRC-197</t>
        </is>
      </c>
      <c r="D205" s="10" t="inlineStr">
        <is>
          <t>Manufacturer</t>
        </is>
      </c>
      <c r="E205" s="10" t="inlineStr">
        <is>
          <t>09-M09</t>
        </is>
      </c>
      <c r="F205" s="10" t="inlineStr">
        <is>
          <t>/home/ubuntu/george_asia_peptide_due_diligence/manufacturers/09-M09.md</t>
        </is>
      </c>
      <c r="G205" s="18" t="inlineStr">
        <is>
          <t>https://www.fda.gov/drugs/drug-master-files-dmfs/list-drug-master-files-dmfs</t>
        </is>
      </c>
      <c r="H205" s="10" t="inlineStr">
        <is>
          <t>20 August 2026</t>
        </is>
      </c>
      <c r="I205" s="10" t="inlineStr">
        <is>
          <t>See cited dossier/report; issuer claims require primary-record verification where identified.</t>
        </is>
      </c>
    </row>
    <row r="206">
      <c r="C206" s="10" t="inlineStr">
        <is>
          <t>SRC-198</t>
        </is>
      </c>
      <c r="D206" s="10" t="inlineStr">
        <is>
          <t>Manufacturer</t>
        </is>
      </c>
      <c r="E206" s="10" t="inlineStr">
        <is>
          <t>09-M09</t>
        </is>
      </c>
      <c r="F206" s="10" t="inlineStr">
        <is>
          <t>/home/ubuntu/george_asia_peptide_due_diligence/manufacturers/09-M09.md</t>
        </is>
      </c>
      <c r="G206" s="18" t="inlineStr">
        <is>
          <t>https://www.fda.gov/media/192069/download?attachment</t>
        </is>
      </c>
      <c r="H206" s="10" t="inlineStr">
        <is>
          <t>20 August 2026</t>
        </is>
      </c>
      <c r="I206" s="10" t="inlineStr">
        <is>
          <t>See cited dossier/report; issuer claims require primary-record verification where identified.</t>
        </is>
      </c>
    </row>
    <row r="207">
      <c r="C207" s="10" t="inlineStr">
        <is>
          <t>SRC-199</t>
        </is>
      </c>
      <c r="D207" s="10" t="inlineStr">
        <is>
          <t>Manufacturer</t>
        </is>
      </c>
      <c r="E207" s="10" t="inlineStr">
        <is>
          <t>09-M09</t>
        </is>
      </c>
      <c r="F207" s="10" t="inlineStr">
        <is>
          <t>/home/ubuntu/george_asia_peptide_due_diligence/manufacturers/09-M09.md</t>
        </is>
      </c>
      <c r="G207" s="18" t="inlineStr">
        <is>
          <t>https://hlbpep.co.kr/kor/customer/notice.php?m=v&amp;idx=1606</t>
        </is>
      </c>
      <c r="H207" s="10" t="inlineStr">
        <is>
          <t>20 August 2026</t>
        </is>
      </c>
      <c r="I207" s="10" t="inlineStr">
        <is>
          <t>See cited dossier/report; issuer claims require primary-record verification where identified.</t>
        </is>
      </c>
    </row>
    <row r="208">
      <c r="C208" s="10" t="inlineStr">
        <is>
          <t>SRC-200</t>
        </is>
      </c>
      <c r="D208" s="10" t="inlineStr">
        <is>
          <t>Manufacturer</t>
        </is>
      </c>
      <c r="E208" s="10" t="inlineStr">
        <is>
          <t>09-M09</t>
        </is>
      </c>
      <c r="F208" s="10" t="inlineStr">
        <is>
          <t>/home/ubuntu/george_asia_peptide_due_diligence/manufacturers/09-M09.md</t>
        </is>
      </c>
      <c r="G208" s="18" t="inlineStr">
        <is>
          <t>https://hlbpep.co.kr/kor/customer/notice.php?m=v&amp;idx=1548&amp;pNo=1&amp;code=notice</t>
        </is>
      </c>
      <c r="H208" s="10" t="inlineStr">
        <is>
          <t>20 August 2026</t>
        </is>
      </c>
      <c r="I208" s="10" t="inlineStr">
        <is>
          <t>See cited dossier/report; issuer claims require primary-record verification where identified.</t>
        </is>
      </c>
    </row>
    <row r="209">
      <c r="C209" s="10" t="inlineStr">
        <is>
          <t>SRC-201</t>
        </is>
      </c>
      <c r="D209" s="10" t="inlineStr">
        <is>
          <t>Manufacturer</t>
        </is>
      </c>
      <c r="E209" s="10" t="inlineStr">
        <is>
          <t>09-M09</t>
        </is>
      </c>
      <c r="F209" s="10" t="inlineStr">
        <is>
          <t>/home/ubuntu/george_asia_peptide_due_diligence/manufacturers/09-M09.md</t>
        </is>
      </c>
      <c r="G209" s="18" t="inlineStr">
        <is>
          <t>http://hlbpep.co.kr/</t>
        </is>
      </c>
      <c r="H209" s="10" t="inlineStr">
        <is>
          <t>20 August 2026</t>
        </is>
      </c>
      <c r="I209" s="10" t="inlineStr">
        <is>
          <t>See cited dossier/report; issuer claims require primary-record verification where identified.</t>
        </is>
      </c>
    </row>
    <row r="210">
      <c r="C210" s="10" t="inlineStr">
        <is>
          <t>SRC-202</t>
        </is>
      </c>
      <c r="D210" s="10" t="inlineStr">
        <is>
          <t>Manufacturer</t>
        </is>
      </c>
      <c r="E210" s="10" t="inlineStr">
        <is>
          <t>09-M09</t>
        </is>
      </c>
      <c r="F210" s="10" t="inlineStr">
        <is>
          <t>/home/ubuntu/george_asia_peptide_due_diligence/manufacturers/09-M09.md</t>
        </is>
      </c>
      <c r="G210" s="18" t="inlineStr">
        <is>
          <t>https://kind.krx.co.kr/external/2026/07/10/000747/20260710001647/00636.htm</t>
        </is>
      </c>
      <c r="H210" s="10" t="inlineStr">
        <is>
          <t>20 August 2026</t>
        </is>
      </c>
      <c r="I210" s="10" t="inlineStr">
        <is>
          <t>See cited dossier/report; issuer claims require primary-record verification where identified.</t>
        </is>
      </c>
    </row>
    <row r="211">
      <c r="C211" s="10" t="inlineStr">
        <is>
          <t>SRC-203</t>
        </is>
      </c>
      <c r="D211" s="10" t="inlineStr">
        <is>
          <t>Manufacturer</t>
        </is>
      </c>
      <c r="E211" s="10" t="inlineStr">
        <is>
          <t>09-M09</t>
        </is>
      </c>
      <c r="F211" s="10" t="inlineStr">
        <is>
          <t>/home/ubuntu/george_asia_peptide_due_diligence/manufacturers/09-M09.md</t>
        </is>
      </c>
      <c r="G211" s="18" t="inlineStr">
        <is>
          <t>https://www.accessdata.fda.gov/scripts/sda/sdDetailNavigation.cfm?sd=srolist&amp;id=587C873A8BC53E9EE06346F0E10A144F&amp;rownum=1160</t>
        </is>
      </c>
      <c r="H211" s="10" t="inlineStr">
        <is>
          <t>20 August 2026</t>
        </is>
      </c>
      <c r="I211" s="10" t="inlineStr">
        <is>
          <t>See cited dossier/report; issuer claims require primary-record verification where identified.</t>
        </is>
      </c>
    </row>
    <row r="212">
      <c r="C212" s="10" t="inlineStr">
        <is>
          <t>SRC-204</t>
        </is>
      </c>
      <c r="D212" s="10" t="inlineStr">
        <is>
          <t>Manufacturer</t>
        </is>
      </c>
      <c r="E212" s="10" t="inlineStr">
        <is>
          <t>09-M09</t>
        </is>
      </c>
      <c r="F212" s="10" t="inlineStr">
        <is>
          <t>/home/ubuntu/george_asia_peptide_due_diligence/manufacturers/09-M09.md</t>
        </is>
      </c>
      <c r="G212" s="18" t="inlineStr">
        <is>
          <t>https://hlbpep.co.kr/kor/company/location.php</t>
        </is>
      </c>
      <c r="H212" s="10" t="inlineStr">
        <is>
          <t>20 August 2026</t>
        </is>
      </c>
      <c r="I212" s="10" t="inlineStr">
        <is>
          <t>See cited dossier/report; issuer claims require primary-record verification where identified.</t>
        </is>
      </c>
    </row>
    <row r="213">
      <c r="C213" s="10" t="inlineStr">
        <is>
          <t>SRC-205</t>
        </is>
      </c>
      <c r="D213" s="10" t="inlineStr">
        <is>
          <t>Manufacturer</t>
        </is>
      </c>
      <c r="E213" s="10" t="inlineStr">
        <is>
          <t>09-M09</t>
        </is>
      </c>
      <c r="F213" s="10" t="inlineStr">
        <is>
          <t>/home/ubuntu/george_asia_peptide_due_diligence/manufacturers/09-M09.md</t>
        </is>
      </c>
      <c r="G213" s="18" t="inlineStr">
        <is>
          <t>https://hlbpep.co.kr/kor/customer/notice.php?m=v&amp;idx=1398&amp;pNo=2&amp;code=notice</t>
        </is>
      </c>
      <c r="H213" s="10" t="inlineStr">
        <is>
          <t>20 August 2026</t>
        </is>
      </c>
      <c r="I213" s="10" t="inlineStr">
        <is>
          <t>See cited dossier/report; issuer claims require primary-record verification where identified.</t>
        </is>
      </c>
    </row>
    <row r="214">
      <c r="C214" s="10" t="inlineStr">
        <is>
          <t>SRC-206</t>
        </is>
      </c>
      <c r="D214" s="10" t="inlineStr">
        <is>
          <t>Manufacturer</t>
        </is>
      </c>
      <c r="E214" s="10" t="inlineStr">
        <is>
          <t>09-M09</t>
        </is>
      </c>
      <c r="F214" s="10" t="inlineStr">
        <is>
          <t>/home/ubuntu/george_asia_peptide_due_diligence/manufacturers/09-M09.md</t>
        </is>
      </c>
      <c r="G214" s="18" t="inlineStr">
        <is>
          <t>https://kind.krx.co.kr/external/2024/03/20/000736/20240320003693/11011.htm</t>
        </is>
      </c>
      <c r="H214" s="10" t="inlineStr">
        <is>
          <t>20 August 2026</t>
        </is>
      </c>
      <c r="I214" s="10" t="inlineStr">
        <is>
          <t>See cited dossier/report; issuer claims require primary-record verification where identified.</t>
        </is>
      </c>
    </row>
    <row r="215">
      <c r="C215" s="10" t="inlineStr">
        <is>
          <t>SRC-207</t>
        </is>
      </c>
      <c r="D215" s="10" t="inlineStr">
        <is>
          <t>Manufacturer</t>
        </is>
      </c>
      <c r="E215" s="10" t="inlineStr">
        <is>
          <t>09-M09</t>
        </is>
      </c>
      <c r="F215" s="10" t="inlineStr">
        <is>
          <t>/home/ubuntu/george_asia_peptide_due_diligence/manufacturers/09-M09.md</t>
        </is>
      </c>
      <c r="G215" s="18" t="inlineStr">
        <is>
          <t>https://kind.krx.co.kr/external/2026/03/12/001283/20260312003157/00591.htm</t>
        </is>
      </c>
      <c r="H215" s="10" t="inlineStr">
        <is>
          <t>20 August 2026</t>
        </is>
      </c>
      <c r="I215" s="10" t="inlineStr">
        <is>
          <t>See cited dossier/report; issuer claims require primary-record verification where identified.</t>
        </is>
      </c>
    </row>
    <row r="216">
      <c r="C216" s="10" t="inlineStr">
        <is>
          <t>SRC-208</t>
        </is>
      </c>
      <c r="D216" s="10" t="inlineStr">
        <is>
          <t>Manufacturer</t>
        </is>
      </c>
      <c r="E216" s="10" t="inlineStr">
        <is>
          <t>09-M09</t>
        </is>
      </c>
      <c r="F216" s="10" t="inlineStr">
        <is>
          <t>/home/ubuntu/george_asia_peptide_due_diligence/manufacturers/09-M09.md</t>
        </is>
      </c>
      <c r="G216" s="18" t="inlineStr">
        <is>
          <t>https://hlbpep.co.kr/eng/peptides/generic.php</t>
        </is>
      </c>
      <c r="H216" s="10" t="inlineStr">
        <is>
          <t>20 August 2026</t>
        </is>
      </c>
      <c r="I216" s="10" t="inlineStr">
        <is>
          <t>See cited dossier/report; issuer claims require primary-record verification where identified.</t>
        </is>
      </c>
    </row>
    <row r="217">
      <c r="C217" s="10" t="inlineStr">
        <is>
          <t>SRC-209</t>
        </is>
      </c>
      <c r="D217" s="10" t="inlineStr">
        <is>
          <t>Manufacturer</t>
        </is>
      </c>
      <c r="E217" s="10" t="inlineStr">
        <is>
          <t>09-M09</t>
        </is>
      </c>
      <c r="F217" s="10" t="inlineStr">
        <is>
          <t>/home/ubuntu/george_asia_peptide_due_diligence/manufacturers/09-M09.md</t>
        </is>
      </c>
      <c r="G217" s="18" t="inlineStr">
        <is>
          <t>http://hlbpep.co.kr/kor/company/history.php</t>
        </is>
      </c>
      <c r="H217" s="10" t="inlineStr">
        <is>
          <t>20 August 2026</t>
        </is>
      </c>
      <c r="I217" s="10" t="inlineStr">
        <is>
          <t>See cited dossier/report; issuer claims require primary-record verification where identified.</t>
        </is>
      </c>
    </row>
    <row r="218">
      <c r="C218" s="10" t="inlineStr">
        <is>
          <t>SRC-210</t>
        </is>
      </c>
      <c r="D218" s="10" t="inlineStr">
        <is>
          <t>Manufacturer</t>
        </is>
      </c>
      <c r="E218" s="10" t="inlineStr">
        <is>
          <t>09-M09</t>
        </is>
      </c>
      <c r="F218" s="10" t="inlineStr">
        <is>
          <t>/home/ubuntu/george_asia_peptide_due_diligence/manufacturers/09-M09.md</t>
        </is>
      </c>
      <c r="G218" s="18" t="inlineStr">
        <is>
          <t>https://www.mfds.go.kr/eng/brd/m_19/view.do?seq=70331&amp;srchFr=&amp;srchTo=&amp;srchWord=&amp;srchTp=&amp;itm_seq_1=0&amp;itm_seq_2=0&amp;multi_itm_seq=0&amp;company_cd=&amp;company_nm=&amp;page=4</t>
        </is>
      </c>
      <c r="H218" s="10" t="inlineStr">
        <is>
          <t>20 August 2026</t>
        </is>
      </c>
      <c r="I218" s="10" t="inlineStr">
        <is>
          <t>See cited dossier/report; issuer claims require primary-record verification where identified.</t>
        </is>
      </c>
    </row>
    <row r="219">
      <c r="C219" s="10" t="inlineStr">
        <is>
          <t>SRC-211</t>
        </is>
      </c>
      <c r="D219" s="10" t="inlineStr">
        <is>
          <t>Manufacturer</t>
        </is>
      </c>
      <c r="E219" s="10" t="inlineStr">
        <is>
          <t>09-M09</t>
        </is>
      </c>
      <c r="F219" s="10" t="inlineStr">
        <is>
          <t>/home/ubuntu/george_asia_peptide_due_diligence/manufacturers/09-M09.md</t>
        </is>
      </c>
      <c r="G219" s="18" t="inlineStr">
        <is>
          <t>https://kind.krx.co.kr/external/2025/04/14/000262/20250414000741/00636.htm</t>
        </is>
      </c>
      <c r="H219" s="10" t="inlineStr">
        <is>
          <t>20 August 2026</t>
        </is>
      </c>
      <c r="I219" s="10" t="inlineStr">
        <is>
          <t>See cited dossier/report; issuer claims require primary-record verification where identified.</t>
        </is>
      </c>
    </row>
    <row r="220">
      <c r="C220" s="10" t="inlineStr">
        <is>
          <t>SRC-212</t>
        </is>
      </c>
      <c r="D220" s="10" t="inlineStr">
        <is>
          <t>Manufacturer</t>
        </is>
      </c>
      <c r="E220" s="10" t="inlineStr">
        <is>
          <t>10-M10</t>
        </is>
      </c>
      <c r="F220" s="10" t="inlineStr">
        <is>
          <t>/home/ubuntu/george_asia_peptide_due_diligence/manufacturers/10-M10.md</t>
        </is>
      </c>
      <c r="G220" s="18" t="inlineStr">
        <is>
          <t>https://www.fda.gov.tw/TC/siteListContent.aspx?sid=2067&amp;id=3723</t>
        </is>
      </c>
      <c r="H220" s="10" t="inlineStr">
        <is>
          <t>20 August 2026</t>
        </is>
      </c>
      <c r="I220" s="10" t="inlineStr">
        <is>
          <t>See cited dossier/report; issuer claims require primary-record verification where identified.</t>
        </is>
      </c>
    </row>
    <row r="221">
      <c r="C221" s="10" t="inlineStr">
        <is>
          <t>SRC-213</t>
        </is>
      </c>
      <c r="D221" s="10" t="inlineStr">
        <is>
          <t>Manufacturer</t>
        </is>
      </c>
      <c r="E221" s="10" t="inlineStr">
        <is>
          <t>10-M10</t>
        </is>
      </c>
      <c r="F221" s="10" t="inlineStr">
        <is>
          <t>/home/ubuntu/george_asia_peptide_due_diligence/manufacturers/10-M10.md</t>
        </is>
      </c>
      <c r="G221" s="18" t="inlineStr">
        <is>
          <t>https://www.fda.gov.tw/TC/siteListContent.aspx?sid=2067&amp;id=39453</t>
        </is>
      </c>
      <c r="H221" s="10" t="inlineStr">
        <is>
          <t>20 August 2026</t>
        </is>
      </c>
      <c r="I221" s="10" t="inlineStr">
        <is>
          <t>See cited dossier/report; issuer claims require primary-record verification where identified.</t>
        </is>
      </c>
    </row>
    <row r="222">
      <c r="C222" s="10" t="inlineStr">
        <is>
          <t>SRC-214</t>
        </is>
      </c>
      <c r="D222" s="10" t="inlineStr">
        <is>
          <t>Manufacturer</t>
        </is>
      </c>
      <c r="E222" s="10" t="inlineStr">
        <is>
          <t>10-M10</t>
        </is>
      </c>
      <c r="F222" s="10" t="inlineStr">
        <is>
          <t>/home/ubuntu/george_asia_peptide_due_diligence/manufacturers/10-M10.md</t>
        </is>
      </c>
      <c r="G222" s="18" t="inlineStr">
        <is>
          <t>https://dailymed.nlm.nih.gov/dailymed/drugInfo.cfm?setid=707a64ef-964e-44a3-8a0f-fcc2eb5b1af2</t>
        </is>
      </c>
      <c r="H222" s="10" t="inlineStr">
        <is>
          <t>20 August 2026</t>
        </is>
      </c>
      <c r="I222" s="10" t="inlineStr">
        <is>
          <t>See cited dossier/report; issuer claims require primary-record verification where identified.</t>
        </is>
      </c>
    </row>
    <row r="223">
      <c r="C223" s="10" t="inlineStr">
        <is>
          <t>SRC-215</t>
        </is>
      </c>
      <c r="D223" s="10" t="inlineStr">
        <is>
          <t>Manufacturer</t>
        </is>
      </c>
      <c r="E223" s="10" t="inlineStr">
        <is>
          <t>10-M10</t>
        </is>
      </c>
      <c r="F223" s="10" t="inlineStr">
        <is>
          <t>/home/ubuntu/george_asia_peptide_due_diligence/manufacturers/10-M10.md</t>
        </is>
      </c>
      <c r="G223" s="18" t="inlineStr">
        <is>
          <t>https://www.accessdata.fda.gov/scripts/sda/sdDetailNavigation.cfm?sd=srolist&amp;id=587C873A70A23E9EE06346F0E10A144F&amp;rownum=1133</t>
        </is>
      </c>
      <c r="H223" s="10" t="inlineStr">
        <is>
          <t>20 August 2026</t>
        </is>
      </c>
      <c r="I223" s="10" t="inlineStr">
        <is>
          <t>See cited dossier/report; issuer claims require primary-record verification where identified.</t>
        </is>
      </c>
    </row>
    <row r="224">
      <c r="C224" s="10" t="inlineStr">
        <is>
          <t>SRC-216</t>
        </is>
      </c>
      <c r="D224" s="10" t="inlineStr">
        <is>
          <t>Manufacturer</t>
        </is>
      </c>
      <c r="E224" s="10" t="inlineStr">
        <is>
          <t>10-M10</t>
        </is>
      </c>
      <c r="F224" s="10" t="inlineStr">
        <is>
          <t>/home/ubuntu/george_asia_peptide_due_diligence/manufacturers/10-M10.md</t>
        </is>
      </c>
      <c r="G224" s="18" t="inlineStr">
        <is>
          <t>https://www.scinopharm.com/investor_document-detail/352/</t>
        </is>
      </c>
      <c r="H224" s="10" t="inlineStr">
        <is>
          <t>20 August 2026</t>
        </is>
      </c>
      <c r="I224" s="10" t="inlineStr">
        <is>
          <t>See cited dossier/report; issuer claims require primary-record verification where identified.</t>
        </is>
      </c>
    </row>
    <row r="225">
      <c r="C225" s="10" t="inlineStr">
        <is>
          <t>SRC-217</t>
        </is>
      </c>
      <c r="D225" s="10" t="inlineStr">
        <is>
          <t>Manufacturer</t>
        </is>
      </c>
      <c r="E225" s="10" t="inlineStr">
        <is>
          <t>10-M10</t>
        </is>
      </c>
      <c r="F225" s="10" t="inlineStr">
        <is>
          <t>/home/ubuntu/george_asia_peptide_due_diligence/manufacturers/10-M10.md</t>
        </is>
      </c>
      <c r="G225" s="18" t="inlineStr">
        <is>
          <t>https://www.globalkeysolutions.net/records/fda_inspections/scinopharm-taiwan-ltd/ffdf6876-5ab7-4104-85ad-a0fd0f722d4f</t>
        </is>
      </c>
      <c r="H225" s="10" t="inlineStr">
        <is>
          <t>20 August 2026</t>
        </is>
      </c>
      <c r="I225" s="10" t="inlineStr">
        <is>
          <t>See cited dossier/report; issuer claims require primary-record verification where identified.</t>
        </is>
      </c>
    </row>
    <row r="226">
      <c r="C226" s="10" t="inlineStr">
        <is>
          <t>SRC-218</t>
        </is>
      </c>
      <c r="D226" s="10" t="inlineStr">
        <is>
          <t>Manufacturer</t>
        </is>
      </c>
      <c r="E226" s="10" t="inlineStr">
        <is>
          <t>10-M10</t>
        </is>
      </c>
      <c r="F226" s="10" t="inlineStr">
        <is>
          <t>/home/ubuntu/george_asia_peptide_due_diligence/manufacturers/10-M10.md</t>
        </is>
      </c>
      <c r="G226" s="18" t="inlineStr">
        <is>
          <t>https://www.fda.gov/media/184915/download</t>
        </is>
      </c>
      <c r="H226" s="10" t="inlineStr">
        <is>
          <t>20 August 2026</t>
        </is>
      </c>
      <c r="I226" s="10" t="inlineStr">
        <is>
          <t>See cited dossier/report; issuer claims require primary-record verification where identified.</t>
        </is>
      </c>
    </row>
    <row r="227">
      <c r="C227" s="10" t="inlineStr">
        <is>
          <t>SRC-219</t>
        </is>
      </c>
      <c r="D227" s="10" t="inlineStr">
        <is>
          <t>Manufacturer</t>
        </is>
      </c>
      <c r="E227" s="10" t="inlineStr">
        <is>
          <t>10-M10</t>
        </is>
      </c>
      <c r="F227" s="10" t="inlineStr">
        <is>
          <t>/home/ubuntu/george_asia_peptide_due_diligence/manufacturers/10-M10.md</t>
        </is>
      </c>
      <c r="G227" s="18" t="inlineStr">
        <is>
          <t>https://www.fda.gov/media/184916/download</t>
        </is>
      </c>
      <c r="H227" s="10" t="inlineStr">
        <is>
          <t>20 August 2026</t>
        </is>
      </c>
      <c r="I227" s="10" t="inlineStr">
        <is>
          <t>See cited dossier/report; issuer claims require primary-record verification where identified.</t>
        </is>
      </c>
    </row>
    <row r="228">
      <c r="C228" s="10" t="inlineStr">
        <is>
          <t>SRC-220</t>
        </is>
      </c>
      <c r="D228" s="10" t="inlineStr">
        <is>
          <t>Manufacturer</t>
        </is>
      </c>
      <c r="E228" s="10" t="inlineStr">
        <is>
          <t>10-M10</t>
        </is>
      </c>
      <c r="F228" s="10" t="inlineStr">
        <is>
          <t>/home/ubuntu/george_asia_peptide_due_diligence/manufacturers/10-M10.md</t>
        </is>
      </c>
      <c r="G228" s="18" t="inlineStr">
        <is>
          <t>https://www.scinopharm.com/news-detail/115/</t>
        </is>
      </c>
      <c r="H228" s="10" t="inlineStr">
        <is>
          <t>20 August 2026</t>
        </is>
      </c>
      <c r="I228" s="10" t="inlineStr">
        <is>
          <t>See cited dossier/report; issuer claims require primary-record verification where identified.</t>
        </is>
      </c>
    </row>
    <row r="229">
      <c r="C229" s="10" t="inlineStr">
        <is>
          <t>SRC-221</t>
        </is>
      </c>
      <c r="D229" s="10" t="inlineStr">
        <is>
          <t>Manufacturer</t>
        </is>
      </c>
      <c r="E229" s="10" t="inlineStr">
        <is>
          <t>10-M10</t>
        </is>
      </c>
      <c r="F229" s="10" t="inlineStr">
        <is>
          <t>/home/ubuntu/george_asia_peptide_due_diligence/manufacturers/10-M10.md</t>
        </is>
      </c>
      <c r="G229" s="18" t="inlineStr">
        <is>
          <t>https://findbiz.nat.gov.tw/fts/company/16130161</t>
        </is>
      </c>
      <c r="H229" s="10" t="inlineStr">
        <is>
          <t>20 August 2026</t>
        </is>
      </c>
      <c r="I229" s="10" t="inlineStr">
        <is>
          <t>See cited dossier/report; issuer claims require primary-record verification where identified.</t>
        </is>
      </c>
    </row>
    <row r="230">
      <c r="C230" s="10" t="inlineStr">
        <is>
          <t>SRC-222</t>
        </is>
      </c>
      <c r="D230" s="10" t="inlineStr">
        <is>
          <t>Manufacturer</t>
        </is>
      </c>
      <c r="E230" s="10" t="inlineStr">
        <is>
          <t>10-M10</t>
        </is>
      </c>
      <c r="F230" s="10" t="inlineStr">
        <is>
          <t>/home/ubuntu/george_asia_peptide_due_diligence/manufacturers/10-M10.md</t>
        </is>
      </c>
      <c r="G230" s="18" t="inlineStr">
        <is>
          <t>https://findbiz.nat.gov.tw/fts/factory/08/94A00015</t>
        </is>
      </c>
      <c r="H230" s="10" t="inlineStr">
        <is>
          <t>20 August 2026</t>
        </is>
      </c>
      <c r="I230" s="10" t="inlineStr">
        <is>
          <t>See cited dossier/report; issuer claims require primary-record verification where identified.</t>
        </is>
      </c>
    </row>
    <row r="231">
      <c r="C231" s="10" t="inlineStr">
        <is>
          <t>SRC-223</t>
        </is>
      </c>
      <c r="D231" s="10" t="inlineStr">
        <is>
          <t>Manufacturer</t>
        </is>
      </c>
      <c r="E231" s="10" t="inlineStr">
        <is>
          <t>10-M10</t>
        </is>
      </c>
      <c r="F231" s="10" t="inlineStr">
        <is>
          <t>/home/ubuntu/george_asia_peptide_due_diligence/manufacturers/10-M10.md</t>
        </is>
      </c>
      <c r="G231" s="18" t="inlineStr">
        <is>
          <t>https://www.scinopharm.com/investor-detail/major-shareholders/</t>
        </is>
      </c>
      <c r="H231" s="10" t="inlineStr">
        <is>
          <t>20 August 2026</t>
        </is>
      </c>
      <c r="I231" s="10" t="inlineStr">
        <is>
          <t>See cited dossier/report; issuer claims require primary-record verification where identified.</t>
        </is>
      </c>
    </row>
    <row r="232">
      <c r="C232" s="10" t="inlineStr">
        <is>
          <t>SRC-224</t>
        </is>
      </c>
      <c r="D232" s="10" t="inlineStr">
        <is>
          <t>Manufacturer</t>
        </is>
      </c>
      <c r="E232" s="10" t="inlineStr">
        <is>
          <t>10-M10</t>
        </is>
      </c>
      <c r="F232" s="10" t="inlineStr">
        <is>
          <t>/home/ubuntu/george_asia_peptide_due_diligence/manufacturers/10-M10.md</t>
        </is>
      </c>
      <c r="G232" s="18" t="inlineStr">
        <is>
          <t>https://www.scinopharm.com/brand/20/</t>
        </is>
      </c>
      <c r="H232" s="10" t="inlineStr">
        <is>
          <t>20 August 2026</t>
        </is>
      </c>
      <c r="I232" s="10" t="inlineStr">
        <is>
          <t>See cited dossier/report; issuer claims require primary-record verification where identified.</t>
        </is>
      </c>
    </row>
    <row r="233">
      <c r="C233" s="10" t="inlineStr">
        <is>
          <t>SRC-225</t>
        </is>
      </c>
      <c r="D233" s="10" t="inlineStr">
        <is>
          <t>Manufacturer</t>
        </is>
      </c>
      <c r="E233" s="10" t="inlineStr">
        <is>
          <t>10-M10</t>
        </is>
      </c>
      <c r="F233" s="10" t="inlineStr">
        <is>
          <t>/home/ubuntu/george_asia_peptide_due_diligence/manufacturers/10-M10.md</t>
        </is>
      </c>
      <c r="G233" s="18" t="inlineStr">
        <is>
          <t>https://www.scinopharm.com/products-detail/56/</t>
        </is>
      </c>
      <c r="H233" s="10" t="inlineStr">
        <is>
          <t>20 August 2026</t>
        </is>
      </c>
      <c r="I233" s="10" t="inlineStr">
        <is>
          <t>See cited dossier/report; issuer claims require primary-record verification where identified.</t>
        </is>
      </c>
    </row>
    <row r="234">
      <c r="C234" s="10" t="inlineStr">
        <is>
          <t>SRC-226</t>
        </is>
      </c>
      <c r="D234" s="10" t="inlineStr">
        <is>
          <t>Manufacturer</t>
        </is>
      </c>
      <c r="E234" s="10" t="inlineStr">
        <is>
          <t>10-M10</t>
        </is>
      </c>
      <c r="F234" s="10" t="inlineStr">
        <is>
          <t>/home/ubuntu/george_asia_peptide_due_diligence/manufacturers/10-M10.md</t>
        </is>
      </c>
      <c r="G234" s="18" t="inlineStr">
        <is>
          <t>https://www.scinopharm.com/products-detail/commercialAPI/</t>
        </is>
      </c>
      <c r="H234" s="10" t="inlineStr">
        <is>
          <t>20 August 2026</t>
        </is>
      </c>
      <c r="I234" s="10" t="inlineStr">
        <is>
          <t>See cited dossier/report; issuer claims require primary-record verification where identified.</t>
        </is>
      </c>
    </row>
    <row r="235">
      <c r="C235" s="10" t="inlineStr">
        <is>
          <t>SRC-227</t>
        </is>
      </c>
      <c r="D235" s="10" t="inlineStr">
        <is>
          <t>Manufacturer</t>
        </is>
      </c>
      <c r="E235" s="10" t="inlineStr">
        <is>
          <t>10-M10</t>
        </is>
      </c>
      <c r="F235" s="10" t="inlineStr">
        <is>
          <t>/home/ubuntu/george_asia_peptide_due_diligence/manufacturers/10-M10.md</t>
        </is>
      </c>
      <c r="G235" s="18" t="inlineStr">
        <is>
          <t>https://www.scinopharm.com/news-detail/137/</t>
        </is>
      </c>
      <c r="H235" s="10" t="inlineStr">
        <is>
          <t>20 August 2026</t>
        </is>
      </c>
      <c r="I235" s="10" t="inlineStr">
        <is>
          <t>See cited dossier/report; issuer claims require primary-record verification where identified.</t>
        </is>
      </c>
    </row>
    <row r="236">
      <c r="C236" s="10" t="inlineStr">
        <is>
          <t>SRC-228</t>
        </is>
      </c>
      <c r="D236" s="10" t="inlineStr">
        <is>
          <t>Manufacturer</t>
        </is>
      </c>
      <c r="E236" s="10" t="inlineStr">
        <is>
          <t>10-M10</t>
        </is>
      </c>
      <c r="F236" s="10" t="inlineStr">
        <is>
          <t>/home/ubuntu/george_asia_peptide_due_diligence/manufacturers/10-M10.md</t>
        </is>
      </c>
      <c r="G236" s="18" t="inlineStr">
        <is>
          <t>https://www.scinopharm.com/products-detail/54/</t>
        </is>
      </c>
      <c r="H236" s="10" t="inlineStr">
        <is>
          <t>20 August 2026</t>
        </is>
      </c>
      <c r="I236" s="10" t="inlineStr">
        <is>
          <t>See cited dossier/report; issuer claims require primary-record verification where identified.</t>
        </is>
      </c>
    </row>
    <row r="237">
      <c r="C237" s="10" t="inlineStr">
        <is>
          <t>SRC-229</t>
        </is>
      </c>
      <c r="D237" s="10" t="inlineStr">
        <is>
          <t>Manufacturer</t>
        </is>
      </c>
      <c r="E237" s="10" t="inlineStr">
        <is>
          <t>10-M10</t>
        </is>
      </c>
      <c r="F237" s="10" t="inlineStr">
        <is>
          <t>/home/ubuntu/george_asia_peptide_due_diligence/manufacturers/10-M10.md</t>
        </is>
      </c>
      <c r="G237" s="18" t="inlineStr">
        <is>
          <t>https://www.scinopharm.com/news-detail/117/</t>
        </is>
      </c>
      <c r="H237" s="10" t="inlineStr">
        <is>
          <t>20 August 2026</t>
        </is>
      </c>
      <c r="I237" s="10" t="inlineStr">
        <is>
          <t>See cited dossier/report; issuer claims require primary-record verification where identified.</t>
        </is>
      </c>
    </row>
    <row r="238">
      <c r="C238" s="10" t="inlineStr">
        <is>
          <t>SRC-230</t>
        </is>
      </c>
      <c r="D238" s="10" t="inlineStr">
        <is>
          <t>Manufacturer</t>
        </is>
      </c>
      <c r="E238" s="10" t="inlineStr">
        <is>
          <t>10-M10</t>
        </is>
      </c>
      <c r="F238" s="10" t="inlineStr">
        <is>
          <t>/home/ubuntu/george_asia_peptide_due_diligence/manufacturers/10-M10.md</t>
        </is>
      </c>
      <c r="G238" s="18" t="inlineStr">
        <is>
          <t>https://www.scinopharm.com/news-detail/139/</t>
        </is>
      </c>
      <c r="H238" s="10" t="inlineStr">
        <is>
          <t>20 August 2026</t>
        </is>
      </c>
      <c r="I238" s="10" t="inlineStr">
        <is>
          <t>See cited dossier/report; issuer claims require primary-record verification where identified.</t>
        </is>
      </c>
    </row>
    <row r="239">
      <c r="C239" s="10" t="inlineStr">
        <is>
          <t>SRC-231</t>
        </is>
      </c>
      <c r="D239" s="10" t="inlineStr">
        <is>
          <t>Manufacturer</t>
        </is>
      </c>
      <c r="E239" s="10" t="inlineStr">
        <is>
          <t>10-M10</t>
        </is>
      </c>
      <c r="F239" s="10" t="inlineStr">
        <is>
          <t>/home/ubuntu/george_asia_peptide_due_diligence/manufacturers/10-M10.md</t>
        </is>
      </c>
      <c r="G239" s="18" t="inlineStr">
        <is>
          <t>https://www.scinopharm.com/download/57/</t>
        </is>
      </c>
      <c r="H239" s="10" t="inlineStr">
        <is>
          <t>20 August 2026</t>
        </is>
      </c>
      <c r="I239" s="10" t="inlineStr">
        <is>
          <t>See cited dossier/report; issuer claims require primary-record verification where identified.</t>
        </is>
      </c>
    </row>
    <row r="240">
      <c r="C240" s="10" t="inlineStr">
        <is>
          <t>SRC-232</t>
        </is>
      </c>
      <c r="D240" s="10" t="inlineStr">
        <is>
          <t>Manufacturer</t>
        </is>
      </c>
      <c r="E240" s="10" t="inlineStr">
        <is>
          <t>10-M10</t>
        </is>
      </c>
      <c r="F240" s="10" t="inlineStr">
        <is>
          <t>/home/ubuntu/george_asia_peptide_due_diligence/manufacturers/10-M10.md</t>
        </is>
      </c>
      <c r="G240" s="18" t="inlineStr">
        <is>
          <t>http://jp.scinopharm.com/upload/download/files/220170913154210.PDF</t>
        </is>
      </c>
      <c r="H240" s="10" t="inlineStr">
        <is>
          <t>20 August 2026</t>
        </is>
      </c>
      <c r="I240" s="10" t="inlineStr">
        <is>
          <t>See cited dossier/report; issuer claims require primary-record verification where identified.</t>
        </is>
      </c>
    </row>
    <row r="241">
      <c r="C241" s="10" t="inlineStr">
        <is>
          <t>SRC-233</t>
        </is>
      </c>
      <c r="D241" s="10" t="inlineStr">
        <is>
          <t>Manufacturer</t>
        </is>
      </c>
      <c r="E241" s="10" t="inlineStr">
        <is>
          <t>10-M10</t>
        </is>
      </c>
      <c r="F241" s="10" t="inlineStr">
        <is>
          <t>/home/ubuntu/george_asia_peptide_due_diligence/manufacturers/10-M10.md</t>
        </is>
      </c>
      <c r="G241" s="18" t="inlineStr">
        <is>
          <t>https://www.scinopharm.com/about/</t>
        </is>
      </c>
      <c r="H241" s="10" t="inlineStr">
        <is>
          <t>20 August 2026</t>
        </is>
      </c>
      <c r="I241" s="10" t="inlineStr">
        <is>
          <t>See cited dossier/report; issuer claims require primary-record verification where identified.</t>
        </is>
      </c>
    </row>
    <row r="242">
      <c r="C242" s="10" t="inlineStr">
        <is>
          <t>SRC-234</t>
        </is>
      </c>
      <c r="D242" s="10" t="inlineStr">
        <is>
          <t>Manufacturer</t>
        </is>
      </c>
      <c r="E242" s="10" t="inlineStr">
        <is>
          <t>10-M10</t>
        </is>
      </c>
      <c r="F242" s="10" t="inlineStr">
        <is>
          <t>/home/ubuntu/george_asia_peptide_due_diligence/manufacturers/10-M10.md</t>
        </is>
      </c>
      <c r="G242" s="18" t="inlineStr">
        <is>
          <t>https://www.globalkeysolutions.net/records/fda_inspections/scinopharm-taiwan-ltd/7044bf7c-e911-4e7c-84ce-056f5f8b6169</t>
        </is>
      </c>
      <c r="H242" s="10" t="inlineStr">
        <is>
          <t>20 August 2026</t>
        </is>
      </c>
      <c r="I242" s="10" t="inlineStr">
        <is>
          <t>See cited dossier/report; issuer claims require primary-record verification where identified.</t>
        </is>
      </c>
    </row>
    <row r="243">
      <c r="C243" s="10" t="inlineStr">
        <is>
          <t>SRC-235</t>
        </is>
      </c>
      <c r="D243" s="10" t="inlineStr">
        <is>
          <t>Manufacturer</t>
        </is>
      </c>
      <c r="E243" s="10" t="inlineStr">
        <is>
          <t>10-M10</t>
        </is>
      </c>
      <c r="F243" s="10" t="inlineStr">
        <is>
          <t>/home/ubuntu/george_asia_peptide_due_diligence/manufacturers/10-M10.md</t>
        </is>
      </c>
      <c r="G243" s="18" t="inlineStr">
        <is>
          <t>https://www.scinopharm.com/products-detail/60/</t>
        </is>
      </c>
      <c r="H243" s="10" t="inlineStr">
        <is>
          <t>20 August 2026</t>
        </is>
      </c>
      <c r="I243" s="10" t="inlineStr">
        <is>
          <t>See cited dossier/report; issuer claims require primary-record verification where identified.</t>
        </is>
      </c>
    </row>
    <row r="244">
      <c r="C244" s="10" t="inlineStr">
        <is>
          <t>SRC-236</t>
        </is>
      </c>
      <c r="D244" s="10" t="inlineStr">
        <is>
          <t>Manufacturer</t>
        </is>
      </c>
      <c r="E244" s="10" t="inlineStr">
        <is>
          <t>10-M10</t>
        </is>
      </c>
      <c r="F244" s="10" t="inlineStr">
        <is>
          <t>/home/ubuntu/george_asia_peptide_due_diligence/manufacturers/10-M10.md</t>
        </is>
      </c>
      <c r="G244" s="18" t="inlineStr">
        <is>
          <t>https://www.scinopharm.com/solutions/QC/</t>
        </is>
      </c>
      <c r="H244" s="10" t="inlineStr">
        <is>
          <t>20 August 2026</t>
        </is>
      </c>
      <c r="I244" s="10" t="inlineStr">
        <is>
          <t>See cited dossier/report; issuer claims require primary-record verification where identified.</t>
        </is>
      </c>
    </row>
    <row r="245">
      <c r="C245" s="10" t="inlineStr">
        <is>
          <t>SRC-237</t>
        </is>
      </c>
      <c r="D245" s="10" t="inlineStr">
        <is>
          <t>Manufacturer</t>
        </is>
      </c>
      <c r="E245" s="10" t="inlineStr">
        <is>
          <t>10-M10</t>
        </is>
      </c>
      <c r="F245" s="10" t="inlineStr">
        <is>
          <t>/home/ubuntu/george_asia_peptide_due_diligence/manufacturers/10-M10.md</t>
        </is>
      </c>
      <c r="G245" s="18" t="inlineStr">
        <is>
          <t>https://www.scinopharm.com/download/80/</t>
        </is>
      </c>
      <c r="H245" s="10" t="inlineStr">
        <is>
          <t>20 August 2026</t>
        </is>
      </c>
      <c r="I245" s="10" t="inlineStr">
        <is>
          <t>See cited dossier/report; issuer claims require primary-record verification where identified.</t>
        </is>
      </c>
    </row>
    <row r="246">
      <c r="C246" s="10" t="inlineStr">
        <is>
          <t>SRC-238</t>
        </is>
      </c>
      <c r="D246" s="10" t="inlineStr">
        <is>
          <t>Laboratory</t>
        </is>
      </c>
      <c r="E246" s="10" t="inlineStr">
        <is>
          <t>01-L01</t>
        </is>
      </c>
      <c r="F246" s="10" t="inlineStr">
        <is>
          <t>/home/ubuntu/george_asia_peptide_due_diligence/laboratories/01-L01.md</t>
        </is>
      </c>
      <c r="G246" s="18" t="inlineStr">
        <is>
          <t>https://www.sgsgroup.com.cn/zh-cn/news/2025/01/sgs-shanghai-health-science-laboratory</t>
        </is>
      </c>
      <c r="H246" s="10" t="inlineStr">
        <is>
          <t>20 August 2026</t>
        </is>
      </c>
      <c r="I246" s="10" t="inlineStr">
        <is>
          <t>See cited dossier/report; issuer claims require primary-record verification where identified.</t>
        </is>
      </c>
    </row>
    <row r="247">
      <c r="C247" s="10" t="inlineStr">
        <is>
          <t>SRC-239</t>
        </is>
      </c>
      <c r="D247" s="10" t="inlineStr">
        <is>
          <t>Laboratory</t>
        </is>
      </c>
      <c r="E247" s="10" t="inlineStr">
        <is>
          <t>01-L01</t>
        </is>
      </c>
      <c r="F247" s="10" t="inlineStr">
        <is>
          <t>/home/ubuntu/george_asia_peptide_due_diligence/laboratories/01-L01.md</t>
        </is>
      </c>
      <c r="G247" s="18" t="inlineStr">
        <is>
          <t>https://www.sgsgroup.com.cn/-/media/sgscorp/documents/corporate/third-party-documents/1-cma20171021.cdn.en-CN.pdf</t>
        </is>
      </c>
      <c r="H247" s="10" t="inlineStr">
        <is>
          <t>20 August 2026</t>
        </is>
      </c>
      <c r="I247" s="10" t="inlineStr">
        <is>
          <t>See cited dossier/report; issuer claims require primary-record verification where identified.</t>
        </is>
      </c>
    </row>
    <row r="248">
      <c r="C248" s="10" t="inlineStr">
        <is>
          <t>SRC-240</t>
        </is>
      </c>
      <c r="D248" s="10" t="inlineStr">
        <is>
          <t>Laboratory</t>
        </is>
      </c>
      <c r="E248" s="10" t="inlineStr">
        <is>
          <t>01-L01</t>
        </is>
      </c>
      <c r="F248" s="10" t="inlineStr">
        <is>
          <t>/home/ubuntu/george_asia_peptide_due_diligence/laboratories/01-L01.md</t>
        </is>
      </c>
      <c r="G248" s="18" t="inlineStr">
        <is>
          <t>https://www.sgsgroup.com.cn/en-cn/our-company/about-sgs/sgs-in-china</t>
        </is>
      </c>
      <c r="H248" s="10" t="inlineStr">
        <is>
          <t>20 August 2026</t>
        </is>
      </c>
      <c r="I248" s="10" t="inlineStr">
        <is>
          <t>See cited dossier/report; issuer claims require primary-record verification where identified.</t>
        </is>
      </c>
    </row>
    <row r="249">
      <c r="C249" s="10" t="inlineStr">
        <is>
          <t>SRC-241</t>
        </is>
      </c>
      <c r="D249" s="10" t="inlineStr">
        <is>
          <t>Laboratory</t>
        </is>
      </c>
      <c r="E249" s="10" t="inlineStr">
        <is>
          <t>01-L01</t>
        </is>
      </c>
      <c r="F249" s="10" t="inlineStr">
        <is>
          <t>/home/ubuntu/george_asia_peptide_due_diligence/laboratories/01-L01.md</t>
        </is>
      </c>
      <c r="G249" s="18" t="inlineStr">
        <is>
          <t>https://www.prnasia.com/story/462074-1.shtml</t>
        </is>
      </c>
      <c r="H249" s="10" t="inlineStr">
        <is>
          <t>20 August 2026</t>
        </is>
      </c>
      <c r="I249" s="10" t="inlineStr">
        <is>
          <t>See cited dossier/report; issuer claims require primary-record verification where identified.</t>
        </is>
      </c>
    </row>
    <row r="250">
      <c r="C250" s="10" t="inlineStr">
        <is>
          <t>SRC-242</t>
        </is>
      </c>
      <c r="D250" s="10" t="inlineStr">
        <is>
          <t>Laboratory</t>
        </is>
      </c>
      <c r="E250" s="10" t="inlineStr">
        <is>
          <t>01-L01</t>
        </is>
      </c>
      <c r="F250" s="10" t="inlineStr">
        <is>
          <t>/home/ubuntu/george_asia_peptide_due_diligence/laboratories/01-L01.md</t>
        </is>
      </c>
      <c r="G250" s="18" t="inlineStr">
        <is>
          <t>https://www.sgsonline.com.cn/case/article/detail-7335.html</t>
        </is>
      </c>
      <c r="H250" s="10" t="inlineStr">
        <is>
          <t>20 August 2026</t>
        </is>
      </c>
      <c r="I250" s="10" t="inlineStr">
        <is>
          <t>See cited dossier/report; issuer claims require primary-record verification where identified.</t>
        </is>
      </c>
    </row>
    <row r="251">
      <c r="C251" s="10" t="inlineStr">
        <is>
          <t>SRC-243</t>
        </is>
      </c>
      <c r="D251" s="10" t="inlineStr">
        <is>
          <t>Laboratory</t>
        </is>
      </c>
      <c r="E251" s="10" t="inlineStr">
        <is>
          <t>01-L01</t>
        </is>
      </c>
      <c r="F251" s="10" t="inlineStr">
        <is>
          <t>/home/ubuntu/george_asia_peptide_due_diligence/laboratories/01-L01.md</t>
        </is>
      </c>
      <c r="G251" s="18" t="inlineStr">
        <is>
          <t>https://www.sgs.com/en/office-directory/sgs-china-shanghai-kangqiao-road-building-5-office</t>
        </is>
      </c>
      <c r="H251" s="10" t="inlineStr">
        <is>
          <t>20 August 2026</t>
        </is>
      </c>
      <c r="I251" s="10" t="inlineStr">
        <is>
          <t>See cited dossier/report; issuer claims require primary-record verification where identified.</t>
        </is>
      </c>
    </row>
    <row r="252">
      <c r="C252" s="10" t="inlineStr">
        <is>
          <t>SRC-244</t>
        </is>
      </c>
      <c r="D252" s="10" t="inlineStr">
        <is>
          <t>Laboratory</t>
        </is>
      </c>
      <c r="E252" s="10" t="inlineStr">
        <is>
          <t>01-L01</t>
        </is>
      </c>
      <c r="F252" s="10" t="inlineStr">
        <is>
          <t>/home/ubuntu/george_asia_peptide_due_diligence/laboratories/01-L01.md</t>
        </is>
      </c>
      <c r="G252" s="18" t="inlineStr">
        <is>
          <t>https://www.sgs.com/en-us/news/2023/03/announcing-the-grand-opening-of-sgss-new-bioanalytical-laboratory-in-shanghai-china</t>
        </is>
      </c>
      <c r="H252" s="10" t="inlineStr">
        <is>
          <t>20 August 2026</t>
        </is>
      </c>
      <c r="I252" s="10" t="inlineStr">
        <is>
          <t>See cited dossier/report; issuer claims require primary-record verification where identified.</t>
        </is>
      </c>
    </row>
    <row r="253">
      <c r="C253" s="10" t="inlineStr">
        <is>
          <t>SRC-245</t>
        </is>
      </c>
      <c r="D253" s="10" t="inlineStr">
        <is>
          <t>Laboratory</t>
        </is>
      </c>
      <c r="E253" s="10" t="inlineStr">
        <is>
          <t>01-L01</t>
        </is>
      </c>
      <c r="F253" s="10" t="inlineStr">
        <is>
          <t>/home/ubuntu/george_asia_peptide_due_diligence/laboratories/01-L01.md</t>
        </is>
      </c>
      <c r="G253" s="18" t="inlineStr">
        <is>
          <t>https://www.etics.org/eu_std_db/tl_scope_std.php?id_tl=124&amp;id_products_category=6&amp;s=1</t>
        </is>
      </c>
      <c r="H253" s="10" t="inlineStr">
        <is>
          <t>20 August 2026</t>
        </is>
      </c>
      <c r="I253" s="10" t="inlineStr">
        <is>
          <t>See cited dossier/report; issuer claims require primary-record verification where identified.</t>
        </is>
      </c>
    </row>
    <row r="254">
      <c r="C254" s="10" t="inlineStr">
        <is>
          <t>SRC-246</t>
        </is>
      </c>
      <c r="D254" s="10" t="inlineStr">
        <is>
          <t>Laboratory</t>
        </is>
      </c>
      <c r="E254" s="10" t="inlineStr">
        <is>
          <t>01-L01</t>
        </is>
      </c>
      <c r="F254" s="10" t="inlineStr">
        <is>
          <t>/home/ubuntu/george_asia_peptide_due_diligence/laboratories/01-L01.md</t>
        </is>
      </c>
      <c r="G254" s="18" t="inlineStr">
        <is>
          <t>https://las.cnas.org.cn/LAS_FQ/publish/suspendCancellationQuery.jsp?orgType=L</t>
        </is>
      </c>
      <c r="H254" s="10" t="inlineStr">
        <is>
          <t>20 August 2026</t>
        </is>
      </c>
      <c r="I254" s="10" t="inlineStr">
        <is>
          <t>See cited dossier/report; issuer claims require primary-record verification where identified.</t>
        </is>
      </c>
    </row>
    <row r="255">
      <c r="C255" s="10" t="inlineStr">
        <is>
          <t>SRC-247</t>
        </is>
      </c>
      <c r="D255" s="10" t="inlineStr">
        <is>
          <t>Laboratory</t>
        </is>
      </c>
      <c r="E255" s="10" t="inlineStr">
        <is>
          <t>01-L01</t>
        </is>
      </c>
      <c r="F255" s="10" t="inlineStr">
        <is>
          <t>/home/ubuntu/george_asia_peptide_due_diligence/laboratories/01-L01.md</t>
        </is>
      </c>
      <c r="G255" s="18" t="inlineStr">
        <is>
          <t>https://manufacturingchemist.com/sgs-expands-extractables-and-leachables-testing-capabilities-at-its-shanghai-facility--130532</t>
        </is>
      </c>
      <c r="H255" s="10" t="inlineStr">
        <is>
          <t>20 August 2026</t>
        </is>
      </c>
      <c r="I255" s="10" t="inlineStr">
        <is>
          <t>See cited dossier/report; issuer claims require primary-record verification where identified.</t>
        </is>
      </c>
    </row>
    <row r="256">
      <c r="C256" s="10" t="inlineStr">
        <is>
          <t>SRC-248</t>
        </is>
      </c>
      <c r="D256" s="10" t="inlineStr">
        <is>
          <t>Laboratory</t>
        </is>
      </c>
      <c r="E256" s="10" t="inlineStr">
        <is>
          <t>01-L01</t>
        </is>
      </c>
      <c r="F256" s="10" t="inlineStr">
        <is>
          <t>/home/ubuntu/george_asia_peptide_due_diligence/laboratories/01-L01.md</t>
        </is>
      </c>
      <c r="G256" s="18" t="inlineStr">
        <is>
          <t>https://www.sgsgroup.com.cn/en-cn/services/forced-degradation</t>
        </is>
      </c>
      <c r="H256" s="10" t="inlineStr">
        <is>
          <t>20 August 2026</t>
        </is>
      </c>
      <c r="I256" s="10" t="inlineStr">
        <is>
          <t>See cited dossier/report; issuer claims require primary-record verification where identified.</t>
        </is>
      </c>
    </row>
    <row r="257">
      <c r="C257" s="10" t="inlineStr">
        <is>
          <t>SRC-249</t>
        </is>
      </c>
      <c r="D257" s="10" t="inlineStr">
        <is>
          <t>Laboratory</t>
        </is>
      </c>
      <c r="E257" s="10" t="inlineStr">
        <is>
          <t>01-L01</t>
        </is>
      </c>
      <c r="F257" s="10" t="inlineStr">
        <is>
          <t>/home/ubuntu/george_asia_peptide_due_diligence/laboratories/01-L01.md</t>
        </is>
      </c>
      <c r="G257" s="18" t="inlineStr">
        <is>
          <t>https://www.fiercepharma.com/pharma-asia/sgs-life-science-services-completes-new-laboratories-at-its-shanghai-facility</t>
        </is>
      </c>
      <c r="H257" s="10" t="inlineStr">
        <is>
          <t>20 August 2026</t>
        </is>
      </c>
      <c r="I257" s="10" t="inlineStr">
        <is>
          <t>See cited dossier/report; issuer claims require primary-record verification where identified.</t>
        </is>
      </c>
    </row>
    <row r="258">
      <c r="C258" s="10" t="inlineStr">
        <is>
          <t>SRC-250</t>
        </is>
      </c>
      <c r="D258" s="10" t="inlineStr">
        <is>
          <t>Laboratory</t>
        </is>
      </c>
      <c r="E258" s="10" t="inlineStr">
        <is>
          <t>01-L01</t>
        </is>
      </c>
      <c r="F258" s="10" t="inlineStr">
        <is>
          <t>/home/ubuntu/george_asia_peptide_due_diligence/laboratories/01-L01.md</t>
        </is>
      </c>
      <c r="G258" s="18" t="inlineStr">
        <is>
          <t>https://www.sgsgroup.com.cn/en-cn/services/container-closure-integrity-testing</t>
        </is>
      </c>
      <c r="H258" s="10" t="inlineStr">
        <is>
          <t>20 August 2026</t>
        </is>
      </c>
      <c r="I258" s="10" t="inlineStr">
        <is>
          <t>See cited dossier/report; issuer claims require primary-record verification where identified.</t>
        </is>
      </c>
    </row>
    <row r="259">
      <c r="C259" s="10" t="inlineStr">
        <is>
          <t>SRC-251</t>
        </is>
      </c>
      <c r="D259" s="10" t="inlineStr">
        <is>
          <t>Laboratory</t>
        </is>
      </c>
      <c r="E259" s="10" t="inlineStr">
        <is>
          <t>02-L02</t>
        </is>
      </c>
      <c r="F259" s="10" t="inlineStr">
        <is>
          <t>/home/ubuntu/george_asia_peptide_due_diligence/laboratories/02-L02.md</t>
        </is>
      </c>
      <c r="G259" s="18" t="inlineStr">
        <is>
          <t>https://info.gbiz.go.jp/hojin/ichiran?hojinBango=9120001058249</t>
        </is>
      </c>
      <c r="H259" s="10" t="inlineStr">
        <is>
          <t>20 August 2026</t>
        </is>
      </c>
      <c r="I259" s="10" t="inlineStr">
        <is>
          <t>See cited dossier/report; issuer claims require primary-record verification where identified.</t>
        </is>
      </c>
    </row>
    <row r="260">
      <c r="C260" s="10" t="inlineStr">
        <is>
          <t>SRC-252</t>
        </is>
      </c>
      <c r="D260" s="10" t="inlineStr">
        <is>
          <t>Laboratory</t>
        </is>
      </c>
      <c r="E260" s="10" t="inlineStr">
        <is>
          <t>02-L02</t>
        </is>
      </c>
      <c r="F260" s="10" t="inlineStr">
        <is>
          <t>/home/ubuntu/george_asia_peptide_due_diligence/laboratories/02-L02.md</t>
        </is>
      </c>
      <c r="G260" s="18" t="inlineStr">
        <is>
          <t>https://www.pmda.go.jp/files/000277257.xlsx</t>
        </is>
      </c>
      <c r="H260" s="10" t="inlineStr">
        <is>
          <t>20 August 2026</t>
        </is>
      </c>
      <c r="I260" s="10" t="inlineStr">
        <is>
          <t>See cited dossier/report; issuer claims require primary-record verification where identified.</t>
        </is>
      </c>
    </row>
    <row r="261">
      <c r="C261" s="10" t="inlineStr">
        <is>
          <t>SRC-253</t>
        </is>
      </c>
      <c r="D261" s="10" t="inlineStr">
        <is>
          <t>Laboratory</t>
        </is>
      </c>
      <c r="E261" s="10" t="inlineStr">
        <is>
          <t>02-L02</t>
        </is>
      </c>
      <c r="F261" s="10" t="inlineStr">
        <is>
          <t>/home/ubuntu/george_asia_peptide_due_diligence/laboratories/02-L02.md</t>
        </is>
      </c>
      <c r="G261" s="18" t="inlineStr">
        <is>
          <t>https://www.pmda.go.jp/review-services/gmp-qms-gctp/gmp/0025.html</t>
        </is>
      </c>
      <c r="H261" s="10" t="inlineStr">
        <is>
          <t>20 August 2026</t>
        </is>
      </c>
      <c r="I261" s="10" t="inlineStr">
        <is>
          <t>See cited dossier/report; issuer claims require primary-record verification where identified.</t>
        </is>
      </c>
    </row>
    <row r="262">
      <c r="C262" s="10" t="inlineStr">
        <is>
          <t>SRC-254</t>
        </is>
      </c>
      <c r="D262" s="10" t="inlineStr">
        <is>
          <t>Laboratory</t>
        </is>
      </c>
      <c r="E262" s="10" t="inlineStr">
        <is>
          <t>02-L02</t>
        </is>
      </c>
      <c r="F262" s="10" t="inlineStr">
        <is>
          <t>/home/ubuntu/george_asia_peptide_due_diligence/laboratories/02-L02.md</t>
        </is>
      </c>
      <c r="G262" s="18" t="inlineStr">
        <is>
          <t>https://www.pmda.go.jp/english/about-pmda/0004.html</t>
        </is>
      </c>
      <c r="H262" s="10" t="inlineStr">
        <is>
          <t>20 August 2026</t>
        </is>
      </c>
      <c r="I262" s="10" t="inlineStr">
        <is>
          <t>See cited dossier/report; issuer claims require primary-record verification where identified.</t>
        </is>
      </c>
    </row>
    <row r="263">
      <c r="C263" s="10" t="inlineStr">
        <is>
          <t>SRC-255</t>
        </is>
      </c>
      <c r="D263" s="10" t="inlineStr">
        <is>
          <t>Laboratory</t>
        </is>
      </c>
      <c r="E263" s="10" t="inlineStr">
        <is>
          <t>02-L02</t>
        </is>
      </c>
      <c r="F263" s="10" t="inlineStr">
        <is>
          <t>/home/ubuntu/george_asia_peptide_due_diligence/laboratories/02-L02.md</t>
        </is>
      </c>
      <c r="G263" s="18" t="inlineStr">
        <is>
          <t>https://www.eurofins.com/ja-jp/biopharma-services/biopharma-product-testing/biopharmaceutical-characterization/</t>
        </is>
      </c>
      <c r="H263" s="10" t="inlineStr">
        <is>
          <t>20 August 2026</t>
        </is>
      </c>
      <c r="I263" s="10" t="inlineStr">
        <is>
          <t>See cited dossier/report; issuer claims require primary-record verification where identified.</t>
        </is>
      </c>
    </row>
    <row r="264">
      <c r="C264" s="10" t="inlineStr">
        <is>
          <t>SRC-256</t>
        </is>
      </c>
      <c r="D264" s="10" t="inlineStr">
        <is>
          <t>Laboratory</t>
        </is>
      </c>
      <c r="E264" s="10" t="inlineStr">
        <is>
          <t>02-L02</t>
        </is>
      </c>
      <c r="F264" s="10" t="inlineStr">
        <is>
          <t>/home/ubuntu/george_asia_peptide_due_diligence/laboratories/02-L02.md</t>
        </is>
      </c>
      <c r="G264" s="18" t="inlineStr">
        <is>
          <t>https://cdnmedia.eurofins.com/apac/media/603045/001_company-profile_flyer.pdf</t>
        </is>
      </c>
      <c r="H264" s="10" t="inlineStr">
        <is>
          <t>20 August 2026</t>
        </is>
      </c>
      <c r="I264" s="10" t="inlineStr">
        <is>
          <t>See cited dossier/report; issuer claims require primary-record verification where identified.</t>
        </is>
      </c>
    </row>
    <row r="265">
      <c r="C265" s="10" t="inlineStr">
        <is>
          <t>SRC-257</t>
        </is>
      </c>
      <c r="D265" s="10" t="inlineStr">
        <is>
          <t>Laboratory</t>
        </is>
      </c>
      <c r="E265" s="10" t="inlineStr">
        <is>
          <t>02-L02</t>
        </is>
      </c>
      <c r="F265" s="10" t="inlineStr">
        <is>
          <t>/home/ubuntu/george_asia_peptide_due_diligence/laboratories/02-L02.md</t>
        </is>
      </c>
      <c r="G265" s="18" t="inlineStr">
        <is>
          <t>https://www.eurofins.com/ja-jp/biopharma-services/biopharma-product-testing/instrumentation/</t>
        </is>
      </c>
      <c r="H265" s="10" t="inlineStr">
        <is>
          <t>20 August 2026</t>
        </is>
      </c>
      <c r="I265" s="10" t="inlineStr">
        <is>
          <t>See cited dossier/report; issuer claims require primary-record verification where identified.</t>
        </is>
      </c>
    </row>
    <row r="266">
      <c r="C266" s="10" t="inlineStr">
        <is>
          <t>SRC-258</t>
        </is>
      </c>
      <c r="D266" s="10" t="inlineStr">
        <is>
          <t>Laboratory</t>
        </is>
      </c>
      <c r="E266" s="10" t="inlineStr">
        <is>
          <t>02-L02</t>
        </is>
      </c>
      <c r="F266" s="10" t="inlineStr">
        <is>
          <t>/home/ubuntu/george_asia_peptide_due_diligence/laboratories/02-L02.md</t>
        </is>
      </c>
      <c r="G266" s="18" t="inlineStr">
        <is>
          <t>https://www.eurofins.com/ja-jp/biopharma-services/biopharma-product-testing/qc-testing/</t>
        </is>
      </c>
      <c r="H266" s="10" t="inlineStr">
        <is>
          <t>20 August 2026</t>
        </is>
      </c>
      <c r="I266" s="10" t="inlineStr">
        <is>
          <t>See cited dossier/report; issuer claims require primary-record verification where identified.</t>
        </is>
      </c>
    </row>
    <row r="267">
      <c r="C267" s="10" t="inlineStr">
        <is>
          <t>SRC-259</t>
        </is>
      </c>
      <c r="D267" s="10" t="inlineStr">
        <is>
          <t>Laboratory</t>
        </is>
      </c>
      <c r="E267" s="10" t="inlineStr">
        <is>
          <t>02-L02</t>
        </is>
      </c>
      <c r="F267" s="10" t="inlineStr">
        <is>
          <t>/home/ubuntu/george_asia_peptide_due_diligence/laboratories/02-L02.md</t>
        </is>
      </c>
      <c r="G267" s="18" t="inlineStr">
        <is>
          <t>https://www.eurofins.com/ja-jp/biopharma-services/biopharma-product-testing/</t>
        </is>
      </c>
      <c r="H267" s="10" t="inlineStr">
        <is>
          <t>20 August 2026</t>
        </is>
      </c>
      <c r="I267" s="10" t="inlineStr">
        <is>
          <t>See cited dossier/report; issuer claims require primary-record verification where identified.</t>
        </is>
      </c>
    </row>
    <row r="268">
      <c r="C268" s="10" t="inlineStr">
        <is>
          <t>SRC-260</t>
        </is>
      </c>
      <c r="D268" s="10" t="inlineStr">
        <is>
          <t>Laboratory</t>
        </is>
      </c>
      <c r="E268" s="10" t="inlineStr">
        <is>
          <t>02-L02</t>
        </is>
      </c>
      <c r="F268" s="10" t="inlineStr">
        <is>
          <t>/home/ubuntu/george_asia_peptide_due_diligence/laboratories/02-L02.md</t>
        </is>
      </c>
      <c r="G268" s="18" t="inlineStr">
        <is>
          <t>https://www.eurofins.com/ja-jp/biopharma-services/biopharma-product-testing/microbiological-testing/</t>
        </is>
      </c>
      <c r="H268" s="10" t="inlineStr">
        <is>
          <t>20 August 2026</t>
        </is>
      </c>
      <c r="I268" s="10" t="inlineStr">
        <is>
          <t>See cited dossier/report; issuer claims require primary-record verification where identified.</t>
        </is>
      </c>
    </row>
    <row r="269">
      <c r="C269" s="10" t="inlineStr">
        <is>
          <t>SRC-261</t>
        </is>
      </c>
      <c r="D269" s="10" t="inlineStr">
        <is>
          <t>Laboratory</t>
        </is>
      </c>
      <c r="E269" s="10" t="inlineStr">
        <is>
          <t>02-L02</t>
        </is>
      </c>
      <c r="F269" s="10" t="inlineStr">
        <is>
          <t>/home/ubuntu/george_asia_peptide_due_diligence/laboratories/02-L02.md</t>
        </is>
      </c>
      <c r="G269" s="18" t="inlineStr">
        <is>
          <t>https://www.eurofins.com/ja-jp/biopharma-services/biopharma-product-testing/stability-testing/</t>
        </is>
      </c>
      <c r="H269" s="10" t="inlineStr">
        <is>
          <t>20 August 2026</t>
        </is>
      </c>
      <c r="I269" s="10" t="inlineStr">
        <is>
          <t>See cited dossier/report; issuer claims require primary-record verification where identified.</t>
        </is>
      </c>
    </row>
    <row r="270">
      <c r="C270" s="10" t="inlineStr">
        <is>
          <t>SRC-262</t>
        </is>
      </c>
      <c r="D270" s="10" t="inlineStr">
        <is>
          <t>Laboratory</t>
        </is>
      </c>
      <c r="E270" s="10" t="inlineStr">
        <is>
          <t>02-L02</t>
        </is>
      </c>
      <c r="F270" s="10" t="inlineStr">
        <is>
          <t>/home/ubuntu/george_asia_peptide_due_diligence/laboratories/02-L02.md</t>
        </is>
      </c>
      <c r="G270" s="18" t="inlineStr">
        <is>
          <t>https://www.eurofins.com/ja-jp/biopharma-services/biopharma-product-testing/qc-testing/cci/</t>
        </is>
      </c>
      <c r="H270" s="10" t="inlineStr">
        <is>
          <t>20 August 2026</t>
        </is>
      </c>
      <c r="I270" s="10" t="inlineStr">
        <is>
          <t>See cited dossier/report; issuer claims require primary-record verification where identified.</t>
        </is>
      </c>
    </row>
    <row r="271">
      <c r="C271" s="10" t="inlineStr">
        <is>
          <t>SRC-263</t>
        </is>
      </c>
      <c r="D271" s="10" t="inlineStr">
        <is>
          <t>Laboratory</t>
        </is>
      </c>
      <c r="E271" s="10" t="inlineStr">
        <is>
          <t>02-L02</t>
        </is>
      </c>
      <c r="F271" s="10" t="inlineStr">
        <is>
          <t>/home/ubuntu/george_asia_peptide_due_diligence/laboratories/02-L02.md</t>
        </is>
      </c>
      <c r="G271" s="18" t="inlineStr">
        <is>
          <t>https://www.eurofins.com/ja-jp/biopharma-services/biopharma-product-testing/impurity-testing/extractables-and-leachables/</t>
        </is>
      </c>
      <c r="H271" s="10" t="inlineStr">
        <is>
          <t>20 August 2026</t>
        </is>
      </c>
      <c r="I271" s="10" t="inlineStr">
        <is>
          <t>See cited dossier/report; issuer claims require primary-record verification where identified.</t>
        </is>
      </c>
    </row>
    <row r="272">
      <c r="C272" s="10" t="inlineStr">
        <is>
          <t>SRC-264</t>
        </is>
      </c>
      <c r="D272" s="10" t="inlineStr">
        <is>
          <t>Laboratory</t>
        </is>
      </c>
      <c r="E272" s="10" t="inlineStr">
        <is>
          <t>02-L02</t>
        </is>
      </c>
      <c r="F272" s="10" t="inlineStr">
        <is>
          <t>/home/ubuntu/george_asia_peptide_due_diligence/laboratories/02-L02.md</t>
        </is>
      </c>
      <c r="G272" s="18" t="inlineStr">
        <is>
          <t>https://www.fda.gov/media/177453/download</t>
        </is>
      </c>
      <c r="H272" s="10" t="inlineStr">
        <is>
          <t>20 August 2026</t>
        </is>
      </c>
      <c r="I272" s="10" t="inlineStr">
        <is>
          <t>See cited dossier/report; issuer claims require primary-record verification where identified.</t>
        </is>
      </c>
    </row>
    <row r="273">
      <c r="C273" s="10" t="inlineStr">
        <is>
          <t>SRC-265</t>
        </is>
      </c>
      <c r="D273" s="10" t="inlineStr">
        <is>
          <t>Laboratory</t>
        </is>
      </c>
      <c r="E273" s="10" t="inlineStr">
        <is>
          <t>02-L02</t>
        </is>
      </c>
      <c r="F273" s="10" t="inlineStr">
        <is>
          <t>/home/ubuntu/george_asia_peptide_due_diligence/laboratories/02-L02.md</t>
        </is>
      </c>
      <c r="G273" s="18" t="inlineStr">
        <is>
          <t>https://www.eurofins.com/en/biopharma-services/news/eurofins-analytical-science-laboratories-expands-biologics/</t>
        </is>
      </c>
      <c r="H273" s="10" t="inlineStr">
        <is>
          <t>20 August 2026</t>
        </is>
      </c>
      <c r="I273" s="10" t="inlineStr">
        <is>
          <t>See cited dossier/report; issuer claims require primary-record verification where identified.</t>
        </is>
      </c>
    </row>
    <row r="274">
      <c r="C274" s="10" t="inlineStr">
        <is>
          <t>SRC-266</t>
        </is>
      </c>
      <c r="D274" s="10" t="inlineStr">
        <is>
          <t>Laboratory</t>
        </is>
      </c>
      <c r="E274" s="10" t="inlineStr">
        <is>
          <t>02-L02</t>
        </is>
      </c>
      <c r="F274" s="10" t="inlineStr">
        <is>
          <t>/home/ubuntu/george_asia_peptide_due_diligence/laboratories/02-L02.md</t>
        </is>
      </c>
      <c r="G274" s="18" t="inlineStr">
        <is>
          <t>https://www.eurofins.com/ja-jp/biopharma-services/biopharma-product-testing/reference-standard-management/</t>
        </is>
      </c>
      <c r="H274" s="10" t="inlineStr">
        <is>
          <t>20 August 2026</t>
        </is>
      </c>
      <c r="I274" s="10" t="inlineStr">
        <is>
          <t>See cited dossier/report; issuer claims require primary-record verification where identified.</t>
        </is>
      </c>
    </row>
    <row r="275">
      <c r="C275" s="10" t="inlineStr">
        <is>
          <t>SRC-267</t>
        </is>
      </c>
      <c r="D275" s="10" t="inlineStr">
        <is>
          <t>Laboratory</t>
        </is>
      </c>
      <c r="E275" s="10" t="inlineStr">
        <is>
          <t>03-L03</t>
        </is>
      </c>
      <c r="F275" s="10" t="inlineStr">
        <is>
          <t>/home/ubuntu/george_asia_peptide_due_diligence/laboratories/03-L03.md</t>
        </is>
      </c>
      <c r="G275" s="18" t="inlineStr">
        <is>
          <t>https://vimta.com/contact-us/</t>
        </is>
      </c>
      <c r="H275" s="10" t="inlineStr">
        <is>
          <t>20 August 2026</t>
        </is>
      </c>
      <c r="I275" s="10" t="inlineStr">
        <is>
          <t>See cited dossier/report; issuer claims require primary-record verification where identified.</t>
        </is>
      </c>
    </row>
    <row r="276">
      <c r="C276" s="10" t="inlineStr">
        <is>
          <t>SRC-268</t>
        </is>
      </c>
      <c r="D276" s="10" t="inlineStr">
        <is>
          <t>Laboratory</t>
        </is>
      </c>
      <c r="E276" s="10" t="inlineStr">
        <is>
          <t>03-L03</t>
        </is>
      </c>
      <c r="F276" s="10" t="inlineStr">
        <is>
          <t>/home/ubuntu/george_asia_peptide_due_diligence/laboratories/03-L03.md</t>
        </is>
      </c>
      <c r="G276" s="18" t="inlineStr">
        <is>
          <t>https://extranet.who.int/prequal/quality-control-labs/india-vimta-genome-v</t>
        </is>
      </c>
      <c r="H276" s="10" t="inlineStr">
        <is>
          <t>20 August 2026</t>
        </is>
      </c>
      <c r="I276" s="10" t="inlineStr">
        <is>
          <t>See cited dossier/report; issuer claims require primary-record verification where identified.</t>
        </is>
      </c>
    </row>
    <row r="277">
      <c r="C277" s="10" t="inlineStr">
        <is>
          <t>SRC-269</t>
        </is>
      </c>
      <c r="D277" s="10" t="inlineStr">
        <is>
          <t>Laboratory</t>
        </is>
      </c>
      <c r="E277" s="10" t="inlineStr">
        <is>
          <t>03-L03</t>
        </is>
      </c>
      <c r="F277" s="10" t="inlineStr">
        <is>
          <t>/home/ubuntu/george_asia_peptide_due_diligence/laboratories/03-L03.md</t>
        </is>
      </c>
      <c r="G277" s="18" t="inlineStr">
        <is>
          <t>https://extranet.who.int/prequal/sites/default/files/whopir_files/WHOPIR_VimtaLabs_18-20January2023_0.pdf</t>
        </is>
      </c>
      <c r="H277" s="10" t="inlineStr">
        <is>
          <t>20 August 2026</t>
        </is>
      </c>
      <c r="I277" s="10" t="inlineStr">
        <is>
          <t>See cited dossier/report; issuer claims require primary-record verification where identified.</t>
        </is>
      </c>
    </row>
    <row r="278">
      <c r="C278" s="10" t="inlineStr">
        <is>
          <t>SRC-270</t>
        </is>
      </c>
      <c r="D278" s="10" t="inlineStr">
        <is>
          <t>Laboratory</t>
        </is>
      </c>
      <c r="E278" s="10" t="inlineStr">
        <is>
          <t>03-L03</t>
        </is>
      </c>
      <c r="F278" s="10" t="inlineStr">
        <is>
          <t>/home/ubuntu/george_asia_peptide_due_diligence/laboratories/03-L03.md</t>
        </is>
      </c>
      <c r="G278" s="18" t="inlineStr">
        <is>
          <t>https://extranet.who.int/prequal/medicines/prequalified/quality-control-labs</t>
        </is>
      </c>
      <c r="H278" s="10" t="inlineStr">
        <is>
          <t>20 August 2026</t>
        </is>
      </c>
      <c r="I278" s="10" t="inlineStr">
        <is>
          <t>See cited dossier/report; issuer claims require primary-record verification where identified.</t>
        </is>
      </c>
    </row>
    <row r="279">
      <c r="C279" s="10" t="inlineStr">
        <is>
          <t>SRC-271</t>
        </is>
      </c>
      <c r="D279" s="10" t="inlineStr">
        <is>
          <t>Laboratory</t>
        </is>
      </c>
      <c r="E279" s="10" t="inlineStr">
        <is>
          <t>03-L03</t>
        </is>
      </c>
      <c r="F279" s="10" t="inlineStr">
        <is>
          <t>/home/ubuntu/george_asia_peptide_due_diligence/laboratories/03-L03.md</t>
        </is>
      </c>
      <c r="G279" s="18" t="inlineStr">
        <is>
          <t>https://vimta.com/wp-content/uploads/2026/05/USFDA-EIR-communication_2023.pdf</t>
        </is>
      </c>
      <c r="H279" s="10" t="inlineStr">
        <is>
          <t>20 August 2026</t>
        </is>
      </c>
      <c r="I279" s="10" t="inlineStr">
        <is>
          <t>See cited dossier/report; issuer claims require primary-record verification where identified.</t>
        </is>
      </c>
    </row>
    <row r="280">
      <c r="C280" s="10" t="inlineStr">
        <is>
          <t>SRC-272</t>
        </is>
      </c>
      <c r="D280" s="10" t="inlineStr">
        <is>
          <t>Laboratory</t>
        </is>
      </c>
      <c r="E280" s="10" t="inlineStr">
        <is>
          <t>03-L03</t>
        </is>
      </c>
      <c r="F280" s="10" t="inlineStr">
        <is>
          <t>/home/ubuntu/george_asia_peptide_due_diligence/laboratories/03-L03.md</t>
        </is>
      </c>
      <c r="G280" s="18" t="inlineStr">
        <is>
          <t>https://vimta.com/wp-content/uploads/2026/05/EMA-Certificate.pdf</t>
        </is>
      </c>
      <c r="H280" s="10" t="inlineStr">
        <is>
          <t>20 August 2026</t>
        </is>
      </c>
      <c r="I280" s="10" t="inlineStr">
        <is>
          <t>See cited dossier/report; issuer claims require primary-record verification where identified.</t>
        </is>
      </c>
    </row>
    <row r="281">
      <c r="C281" s="10" t="inlineStr">
        <is>
          <t>SRC-273</t>
        </is>
      </c>
      <c r="D281" s="10" t="inlineStr">
        <is>
          <t>Laboratory</t>
        </is>
      </c>
      <c r="E281" s="10" t="inlineStr">
        <is>
          <t>03-L03</t>
        </is>
      </c>
      <c r="F281" s="10" t="inlineStr">
        <is>
          <t>/home/ubuntu/george_asia_peptide_due_diligence/laboratories/03-L03.md</t>
        </is>
      </c>
      <c r="G281" s="18" t="inlineStr">
        <is>
          <t>https://vimta.com/industries/drug-discovery-development/testing/</t>
        </is>
      </c>
      <c r="H281" s="10" t="inlineStr">
        <is>
          <t>20 August 2026</t>
        </is>
      </c>
      <c r="I281" s="10" t="inlineStr">
        <is>
          <t>See cited dossier/report; issuer claims require primary-record verification where identified.</t>
        </is>
      </c>
    </row>
    <row r="282">
      <c r="C282" s="10" t="inlineStr">
        <is>
          <t>SRC-274</t>
        </is>
      </c>
      <c r="D282" s="10" t="inlineStr">
        <is>
          <t>Laboratory</t>
        </is>
      </c>
      <c r="E282" s="10" t="inlineStr">
        <is>
          <t>03-L03</t>
        </is>
      </c>
      <c r="F282" s="10" t="inlineStr">
        <is>
          <t>/home/ubuntu/george_asia_peptide_due_diligence/laboratories/03-L03.md</t>
        </is>
      </c>
      <c r="G282" s="18" t="inlineStr">
        <is>
          <t>https://vimta.com/industries/testing/mass-spec-analysis-peptides-proteins/</t>
        </is>
      </c>
      <c r="H282" s="10" t="inlineStr">
        <is>
          <t>20 August 2026</t>
        </is>
      </c>
      <c r="I282" s="10" t="inlineStr">
        <is>
          <t>See cited dossier/report; issuer claims require primary-record verification where identified.</t>
        </is>
      </c>
    </row>
    <row r="283">
      <c r="C283" s="10" t="inlineStr">
        <is>
          <t>SRC-275</t>
        </is>
      </c>
      <c r="D283" s="10" t="inlineStr">
        <is>
          <t>Laboratory</t>
        </is>
      </c>
      <c r="E283" s="10" t="inlineStr">
        <is>
          <t>03-L03</t>
        </is>
      </c>
      <c r="F283" s="10" t="inlineStr">
        <is>
          <t>/home/ubuntu/george_asia_peptide_due_diligence/laboratories/03-L03.md</t>
        </is>
      </c>
      <c r="G283" s="18" t="inlineStr">
        <is>
          <t>https://vimta.com/extractables-leachables-studies/</t>
        </is>
      </c>
      <c r="H283" s="10" t="inlineStr">
        <is>
          <t>20 August 2026</t>
        </is>
      </c>
      <c r="I283" s="10" t="inlineStr">
        <is>
          <t>See cited dossier/report; issuer claims require primary-record verification where identified.</t>
        </is>
      </c>
    </row>
    <row r="284">
      <c r="C284" s="10" t="inlineStr">
        <is>
          <t>SRC-276</t>
        </is>
      </c>
      <c r="D284" s="10" t="inlineStr">
        <is>
          <t>Laboratory</t>
        </is>
      </c>
      <c r="E284" s="10" t="inlineStr">
        <is>
          <t>03-L03</t>
        </is>
      </c>
      <c r="F284" s="10" t="inlineStr">
        <is>
          <t>/home/ubuntu/george_asia_peptide_due_diligence/laboratories/03-L03.md</t>
        </is>
      </c>
      <c r="G284" s="18" t="inlineStr">
        <is>
          <t>https://www.sahpra.org.za/wp-content/uploads/2022/06/SAHPGL-LIC-01-Guide-On-How-to-Apply-for-A-Licence-To-Manufacture_DN.pdf</t>
        </is>
      </c>
      <c r="H284" s="10" t="inlineStr">
        <is>
          <t>20 August 2026</t>
        </is>
      </c>
      <c r="I284" s="10" t="inlineStr">
        <is>
          <t>See cited dossier/report; issuer claims require primary-record verification where identified.</t>
        </is>
      </c>
    </row>
    <row r="285">
      <c r="C285" s="10" t="inlineStr">
        <is>
          <t>SRC-277</t>
        </is>
      </c>
      <c r="D285" s="10" t="inlineStr">
        <is>
          <t>Laboratory</t>
        </is>
      </c>
      <c r="E285" s="10" t="inlineStr">
        <is>
          <t>03-L03</t>
        </is>
      </c>
      <c r="F285" s="10" t="inlineStr">
        <is>
          <t>/home/ubuntu/george_asia_peptide_due_diligence/laboratories/03-L03.md</t>
        </is>
      </c>
      <c r="G285" s="18" t="inlineStr">
        <is>
          <t>https://nabl-india.org/nabl/index.php?c=publicaccredationdoc&amp;m=index&amp;docType=misc&amp;per_page=75</t>
        </is>
      </c>
      <c r="H285" s="10" t="inlineStr">
        <is>
          <t>20 August 2026</t>
        </is>
      </c>
      <c r="I285" s="10" t="inlineStr">
        <is>
          <t>See cited dossier/report; issuer claims require primary-record verification where identified.</t>
        </is>
      </c>
    </row>
    <row r="286">
      <c r="C286" s="10" t="inlineStr">
        <is>
          <t>SRC-278</t>
        </is>
      </c>
      <c r="D286" s="10" t="inlineStr">
        <is>
          <t>Laboratory</t>
        </is>
      </c>
      <c r="E286" s="10" t="inlineStr">
        <is>
          <t>03-L03</t>
        </is>
      </c>
      <c r="F286" s="10" t="inlineStr">
        <is>
          <t>/home/ubuntu/george_asia_peptide_due_diligence/laboratories/03-L03.md</t>
        </is>
      </c>
      <c r="G286" s="18" t="inlineStr">
        <is>
          <t>https://vimta.com/industries/drug-discovery-development/cgmp-analytical-services/</t>
        </is>
      </c>
      <c r="H286" s="10" t="inlineStr">
        <is>
          <t>20 August 2026</t>
        </is>
      </c>
      <c r="I286" s="10" t="inlineStr">
        <is>
          <t>See cited dossier/report; issuer claims require primary-record verification where identified.</t>
        </is>
      </c>
    </row>
    <row r="287">
      <c r="C287" s="10" t="inlineStr">
        <is>
          <t>SRC-279</t>
        </is>
      </c>
      <c r="D287" s="10" t="inlineStr">
        <is>
          <t>Laboratory</t>
        </is>
      </c>
      <c r="E287" s="10" t="inlineStr">
        <is>
          <t>03-L03</t>
        </is>
      </c>
      <c r="F287" s="10" t="inlineStr">
        <is>
          <t>/home/ubuntu/george_asia_peptide_due_diligence/laboratories/03-L03.md</t>
        </is>
      </c>
      <c r="G287" s="18" t="inlineStr">
        <is>
          <t>https://vimta.com/industries/cgmp-analytical-services/api-analysis/</t>
        </is>
      </c>
      <c r="H287" s="10" t="inlineStr">
        <is>
          <t>20 August 2026</t>
        </is>
      </c>
      <c r="I287" s="10" t="inlineStr">
        <is>
          <t>See cited dossier/report; issuer claims require primary-record verification where identified.</t>
        </is>
      </c>
    </row>
    <row r="288">
      <c r="C288" s="10" t="inlineStr">
        <is>
          <t>SRC-280</t>
        </is>
      </c>
      <c r="D288" s="10" t="inlineStr">
        <is>
          <t>Laboratory</t>
        </is>
      </c>
      <c r="E288" s="10" t="inlineStr">
        <is>
          <t>03-L03</t>
        </is>
      </c>
      <c r="F288" s="10" t="inlineStr">
        <is>
          <t>/home/ubuntu/george_asia_peptide_due_diligence/laboratories/03-L03.md</t>
        </is>
      </c>
      <c r="G288" s="18" t="inlineStr">
        <is>
          <t>https://vimta.com/about-us/quality-management-system/</t>
        </is>
      </c>
      <c r="H288" s="10" t="inlineStr">
        <is>
          <t>20 August 2026</t>
        </is>
      </c>
      <c r="I288" s="10" t="inlineStr">
        <is>
          <t>See cited dossier/report; issuer claims require primary-record verification where identified.</t>
        </is>
      </c>
    </row>
    <row r="289">
      <c r="C289" s="10" t="inlineStr">
        <is>
          <t>SRC-281</t>
        </is>
      </c>
      <c r="D289" s="10" t="inlineStr">
        <is>
          <t>Laboratory</t>
        </is>
      </c>
      <c r="E289" s="10" t="inlineStr">
        <is>
          <t>03-L03</t>
        </is>
      </c>
      <c r="F289" s="10" t="inlineStr">
        <is>
          <t>/home/ubuntu/george_asia_peptide_due_diligence/laboratories/03-L03.md</t>
        </is>
      </c>
      <c r="G289" s="18" t="inlineStr">
        <is>
          <t>https://extranet.who.int/prequal/news/new-who-public-inspection-reports-whopirs-published-90</t>
        </is>
      </c>
      <c r="H289" s="10" t="inlineStr">
        <is>
          <t>20 August 2026</t>
        </is>
      </c>
      <c r="I289" s="10" t="inlineStr">
        <is>
          <t>See cited dossier/report; issuer claims require primary-record verification where identified.</t>
        </is>
      </c>
    </row>
    <row r="290">
      <c r="C290" s="10" t="inlineStr">
        <is>
          <t>SRC-282</t>
        </is>
      </c>
      <c r="D290" s="10" t="inlineStr">
        <is>
          <t>Laboratory</t>
        </is>
      </c>
      <c r="E290" s="10" t="inlineStr">
        <is>
          <t>04-L04</t>
        </is>
      </c>
      <c r="F290" s="10" t="inlineStr">
        <is>
          <t>/home/ubuntu/george_asia_peptide_due_diligence/laboratories/04-L04.md</t>
        </is>
      </c>
      <c r="G290" s="18" t="inlineStr">
        <is>
          <t>https://cdn.intertek.com/www-intertek-com/media/countrysites/2026/Intertek-Pharmaceutical-Services-India-Brochure.pdf</t>
        </is>
      </c>
      <c r="H290" s="10" t="inlineStr">
        <is>
          <t>20 August 2026</t>
        </is>
      </c>
      <c r="I290" s="10" t="inlineStr">
        <is>
          <t>See cited dossier/report; issuer claims require primary-record verification where identified.</t>
        </is>
      </c>
    </row>
    <row r="291">
      <c r="C291" s="10" t="inlineStr">
        <is>
          <t>SRC-283</t>
        </is>
      </c>
      <c r="D291" s="10" t="inlineStr">
        <is>
          <t>Laboratory</t>
        </is>
      </c>
      <c r="E291" s="10" t="inlineStr">
        <is>
          <t>04-L04</t>
        </is>
      </c>
      <c r="F291" s="10" t="inlineStr">
        <is>
          <t>/home/ubuntu/george_asia_peptide_due_diligence/laboratories/04-L04.md</t>
        </is>
      </c>
      <c r="G291" s="18" t="inlineStr">
        <is>
          <t>https://cdn.intertek.com/www-intertek-com/dms-legacy/Intertek%20Terms%20%20Conditions%20of%20Business%20-%20INDIA.pdf</t>
        </is>
      </c>
      <c r="H291" s="10" t="inlineStr">
        <is>
          <t>20 August 2026</t>
        </is>
      </c>
      <c r="I291" s="10" t="inlineStr">
        <is>
          <t>See cited dossier/report; issuer claims require primary-record verification where identified.</t>
        </is>
      </c>
    </row>
    <row r="292">
      <c r="C292" s="10" t="inlineStr">
        <is>
          <t>SRC-284</t>
        </is>
      </c>
      <c r="D292" s="10" t="inlineStr">
        <is>
          <t>Laboratory</t>
        </is>
      </c>
      <c r="E292" s="10" t="inlineStr">
        <is>
          <t>04-L04</t>
        </is>
      </c>
      <c r="F292" s="10" t="inlineStr">
        <is>
          <t>/home/ubuntu/george_asia_peptide_due_diligence/laboratories/04-L04.md</t>
        </is>
      </c>
      <c r="G292" s="18" t="inlineStr">
        <is>
          <t>https://www.iasonline.org/ias_certificate/tl-1217/</t>
        </is>
      </c>
      <c r="H292" s="10" t="inlineStr">
        <is>
          <t>20 August 2026</t>
        </is>
      </c>
      <c r="I292" s="10" t="inlineStr">
        <is>
          <t>See cited dossier/report; issuer claims require primary-record verification where identified.</t>
        </is>
      </c>
    </row>
    <row r="293">
      <c r="C293" s="10" t="inlineStr">
        <is>
          <t>SRC-285</t>
        </is>
      </c>
      <c r="D293" s="10" t="inlineStr">
        <is>
          <t>Laboratory</t>
        </is>
      </c>
      <c r="E293" s="10" t="inlineStr">
        <is>
          <t>04-L04</t>
        </is>
      </c>
      <c r="F293" s="10" t="inlineStr">
        <is>
          <t>/home/ubuntu/george_asia_peptide_due_diligence/laboratories/04-L04.md</t>
        </is>
      </c>
      <c r="G293" s="18" t="inlineStr">
        <is>
          <t>https://www.iasonline.org/wp-content/uploads/2023/12/TL-1217-Cert-New.pdf</t>
        </is>
      </c>
      <c r="H293" s="10" t="inlineStr">
        <is>
          <t>20 August 2026</t>
        </is>
      </c>
      <c r="I293" s="10" t="inlineStr">
        <is>
          <t>See cited dossier/report; issuer claims require primary-record verification where identified.</t>
        </is>
      </c>
    </row>
    <row r="294">
      <c r="C294" s="10" t="inlineStr">
        <is>
          <t>SRC-286</t>
        </is>
      </c>
      <c r="D294" s="10" t="inlineStr">
        <is>
          <t>Laboratory</t>
        </is>
      </c>
      <c r="E294" s="10" t="inlineStr">
        <is>
          <t>04-L04</t>
        </is>
      </c>
      <c r="F294" s="10" t="inlineStr">
        <is>
          <t>/home/ubuntu/george_asia_peptide_due_diligence/laboratories/04-L04.md</t>
        </is>
      </c>
      <c r="G294" s="18" t="inlineStr">
        <is>
          <t>https://bycsa.co/wp-content/uploads/2025/07/Acreditacion_de_laboratorio.pdf</t>
        </is>
      </c>
      <c r="H294" s="10" t="inlineStr">
        <is>
          <t>20 August 2026</t>
        </is>
      </c>
      <c r="I294" s="10" t="inlineStr">
        <is>
          <t>See cited dossier/report; issuer claims require primary-record verification where identified.</t>
        </is>
      </c>
    </row>
    <row r="295">
      <c r="C295" s="10" t="inlineStr">
        <is>
          <t>SRC-287</t>
        </is>
      </c>
      <c r="D295" s="10" t="inlineStr">
        <is>
          <t>Laboratory</t>
        </is>
      </c>
      <c r="E295" s="10" t="inlineStr">
        <is>
          <t>04-L04</t>
        </is>
      </c>
      <c r="F295" s="10" t="inlineStr">
        <is>
          <t>/home/ubuntu/george_asia_peptide_due_diligence/laboratories/04-L04.md</t>
        </is>
      </c>
      <c r="G295" s="18" t="inlineStr">
        <is>
          <t>https://dst.gov.in/sites/default/files/Certified%20Test%20Facilities%20withTest%20Items%20and%20Test%20Systems%2031072026.pdf</t>
        </is>
      </c>
      <c r="H295" s="10" t="inlineStr">
        <is>
          <t>20 August 2026</t>
        </is>
      </c>
      <c r="I295" s="10" t="inlineStr">
        <is>
          <t>See cited dossier/report; issuer claims require primary-record verification where identified.</t>
        </is>
      </c>
    </row>
    <row r="296">
      <c r="C296" s="10" t="inlineStr">
        <is>
          <t>SRC-288</t>
        </is>
      </c>
      <c r="D296" s="10" t="inlineStr">
        <is>
          <t>Laboratory</t>
        </is>
      </c>
      <c r="E296" s="10" t="inlineStr">
        <is>
          <t>04-L04</t>
        </is>
      </c>
      <c r="F296" s="10" t="inlineStr">
        <is>
          <t>/home/ubuntu/george_asia_peptide_due_diligence/laboratories/04-L04.md</t>
        </is>
      </c>
      <c r="G296" s="18" t="inlineStr">
        <is>
          <t>https://dst.gov.in/ngcma</t>
        </is>
      </c>
      <c r="H296" s="10" t="inlineStr">
        <is>
          <t>20 August 2026</t>
        </is>
      </c>
      <c r="I296" s="10" t="inlineStr">
        <is>
          <t>See cited dossier/report; issuer claims require primary-record verification where identified.</t>
        </is>
      </c>
    </row>
    <row r="297">
      <c r="C297" s="10" t="inlineStr">
        <is>
          <t>SRC-289</t>
        </is>
      </c>
      <c r="D297" s="10" t="inlineStr">
        <is>
          <t>Laboratory</t>
        </is>
      </c>
      <c r="E297" s="10" t="inlineStr">
        <is>
          <t>04-L04</t>
        </is>
      </c>
      <c r="F297" s="10" t="inlineStr">
        <is>
          <t>/home/ubuntu/george_asia_peptide_due_diligence/laboratories/04-L04.md</t>
        </is>
      </c>
      <c r="G297" s="18" t="inlineStr">
        <is>
          <t>https://www.intertek.com/india/</t>
        </is>
      </c>
      <c r="H297" s="10" t="inlineStr">
        <is>
          <t>20 August 2026</t>
        </is>
      </c>
      <c r="I297" s="10" t="inlineStr">
        <is>
          <t>See cited dossier/report; issuer claims require primary-record verification where identified.</t>
        </is>
      </c>
    </row>
    <row r="298">
      <c r="C298" s="10" t="inlineStr">
        <is>
          <t>SRC-290</t>
        </is>
      </c>
      <c r="D298" s="10" t="inlineStr">
        <is>
          <t>Laboratory</t>
        </is>
      </c>
      <c r="E298" s="10" t="inlineStr">
        <is>
          <t>04-L04</t>
        </is>
      </c>
      <c r="F298" s="10" t="inlineStr">
        <is>
          <t>/home/ubuntu/george_asia_peptide_due_diligence/laboratories/04-L04.md</t>
        </is>
      </c>
      <c r="G298" s="18" t="inlineStr">
        <is>
          <t>https://www.intertek.com/contact/asiapacific/india/</t>
        </is>
      </c>
      <c r="H298" s="10" t="inlineStr">
        <is>
          <t>20 August 2026</t>
        </is>
      </c>
      <c r="I298" s="10" t="inlineStr">
        <is>
          <t>See cited dossier/report; issuer claims require primary-record verification where identified.</t>
        </is>
      </c>
    </row>
    <row r="299">
      <c r="C299" s="10" t="inlineStr">
        <is>
          <t>SRC-291</t>
        </is>
      </c>
      <c r="D299" s="10" t="inlineStr">
        <is>
          <t>Laboratory</t>
        </is>
      </c>
      <c r="E299" s="10" t="inlineStr">
        <is>
          <t>04-L04</t>
        </is>
      </c>
      <c r="F299" s="10" t="inlineStr">
        <is>
          <t>/home/ubuntu/george_asia_peptide_due_diligence/laboratories/04-L04.md</t>
        </is>
      </c>
      <c r="G299" s="18" t="inlineStr">
        <is>
          <t>https://economictimes.indiatimes.com/company/intertek-india-private-limited/U74220DL1997PTC202243</t>
        </is>
      </c>
      <c r="H299" s="10" t="inlineStr">
        <is>
          <t>20 August 2026</t>
        </is>
      </c>
      <c r="I299" s="10" t="inlineStr">
        <is>
          <t>See cited dossier/report; issuer claims require primary-record verification where identified.</t>
        </is>
      </c>
    </row>
    <row r="300">
      <c r="C300" s="10" t="inlineStr">
        <is>
          <t>SRC-292</t>
        </is>
      </c>
      <c r="D300" s="10" t="inlineStr">
        <is>
          <t>Laboratory</t>
        </is>
      </c>
      <c r="E300" s="10" t="inlineStr">
        <is>
          <t>04-L04</t>
        </is>
      </c>
      <c r="F300" s="10" t="inlineStr">
        <is>
          <t>/home/ubuntu/george_asia_peptide_due_diligence/laboratories/04-L04.md</t>
        </is>
      </c>
      <c r="G300" s="18" t="inlineStr">
        <is>
          <t>https://fda.maharashtra.gov.in/sections/</t>
        </is>
      </c>
      <c r="H300" s="10" t="inlineStr">
        <is>
          <t>20 August 2026</t>
        </is>
      </c>
      <c r="I300" s="10" t="inlineStr">
        <is>
          <t>See cited dossier/report; issuer claims require primary-record verification where identified.</t>
        </is>
      </c>
    </row>
    <row r="301">
      <c r="C301" s="10" t="inlineStr">
        <is>
          <t>SRC-293</t>
        </is>
      </c>
      <c r="D301" s="10" t="inlineStr">
        <is>
          <t>Laboratory</t>
        </is>
      </c>
      <c r="E301" s="10" t="inlineStr">
        <is>
          <t>04-L04</t>
        </is>
      </c>
      <c r="F301" s="10" t="inlineStr">
        <is>
          <t>/home/ubuntu/george_asia_peptide_due_diligence/laboratories/04-L04.md</t>
        </is>
      </c>
      <c r="G301" s="18" t="inlineStr">
        <is>
          <t>https://www.linkedin.com/posts/intertek_biosciences-intertekindia-environmental-activity-7431793756342947840-sQbe</t>
        </is>
      </c>
      <c r="H301" s="10" t="inlineStr">
        <is>
          <t>20 August 2026</t>
        </is>
      </c>
      <c r="I301" s="10" t="inlineStr">
        <is>
          <t>See cited dossier/report; issuer claims require primary-record verification where identified.</t>
        </is>
      </c>
    </row>
    <row r="302">
      <c r="C302" s="10" t="inlineStr">
        <is>
          <t>SRC-294</t>
        </is>
      </c>
      <c r="D302" s="10" t="inlineStr">
        <is>
          <t>Laboratory</t>
        </is>
      </c>
      <c r="E302" s="10" t="inlineStr">
        <is>
          <t>04-L04</t>
        </is>
      </c>
      <c r="F302" s="10" t="inlineStr">
        <is>
          <t>/home/ubuntu/george_asia_peptide_due_diligence/laboratories/04-L04.md</t>
        </is>
      </c>
      <c r="G302" s="18" t="inlineStr">
        <is>
          <t>https://nabcb.qci.org.in/iaf-ilac-mla/iaf-intertek-india-pvt-ltd-mdqms033/</t>
        </is>
      </c>
      <c r="H302" s="10" t="inlineStr">
        <is>
          <t>20 August 2026</t>
        </is>
      </c>
      <c r="I302" s="10" t="inlineStr">
        <is>
          <t>See cited dossier/report; issuer claims require primary-record verification where identified.</t>
        </is>
      </c>
    </row>
    <row r="303">
      <c r="C303" s="10" t="inlineStr">
        <is>
          <t>SRC-295</t>
        </is>
      </c>
      <c r="D303" s="10" t="inlineStr">
        <is>
          <t>Laboratory</t>
        </is>
      </c>
      <c r="E303" s="10" t="inlineStr">
        <is>
          <t>04-L04</t>
        </is>
      </c>
      <c r="F303" s="10" t="inlineStr">
        <is>
          <t>/home/ubuntu/george_asia_peptide_due_diligence/laboratories/04-L04.md</t>
        </is>
      </c>
      <c r="G303" s="18" t="inlineStr">
        <is>
          <t>https://nabl-india.org/nabl/uploads/List_of_Suspended_Labs_as_on_14-05-2026.pdf</t>
        </is>
      </c>
      <c r="H303" s="10" t="inlineStr">
        <is>
          <t>20 August 2026</t>
        </is>
      </c>
      <c r="I303" s="10" t="inlineStr">
        <is>
          <t>See cited dossier/report; issuer claims require primary-record verification where identified.</t>
        </is>
      </c>
    </row>
    <row r="304">
      <c r="C304" s="10" t="inlineStr">
        <is>
          <t>SRC-296</t>
        </is>
      </c>
      <c r="D304" s="10" t="inlineStr">
        <is>
          <t>Laboratory</t>
        </is>
      </c>
      <c r="E304" s="10" t="inlineStr">
        <is>
          <t>04-L04</t>
        </is>
      </c>
      <c r="F304" s="10" t="inlineStr">
        <is>
          <t>/home/ubuntu/george_asia_peptide_due_diligence/laboratories/04-L04.md</t>
        </is>
      </c>
      <c r="G304" s="18" t="inlineStr">
        <is>
          <t>https://nabl-india.org/nabl/uploads/List_of_Suspended_Labs_as_on_02-12-2025.pdf</t>
        </is>
      </c>
      <c r="H304" s="10" t="inlineStr">
        <is>
          <t>20 August 2026</t>
        </is>
      </c>
      <c r="I304" s="10" t="inlineStr">
        <is>
          <t>See cited dossier/report; issuer claims require primary-record verification where identified.</t>
        </is>
      </c>
    </row>
    <row r="305">
      <c r="C305" s="10" t="inlineStr">
        <is>
          <t>SRC-297</t>
        </is>
      </c>
      <c r="D305" s="10" t="inlineStr">
        <is>
          <t>Laboratory</t>
        </is>
      </c>
      <c r="E305" s="10" t="inlineStr">
        <is>
          <t>04-L04</t>
        </is>
      </c>
      <c r="F305" s="10" t="inlineStr">
        <is>
          <t>/home/ubuntu/george_asia_peptide_due_diligence/laboratories/04-L04.md</t>
        </is>
      </c>
      <c r="G305" s="18" t="inlineStr">
        <is>
          <t>https://www.intertek.com/pharmaceutical/biopharmaceuticals/peptide-analysis-and-formulation/</t>
        </is>
      </c>
      <c r="H305" s="10" t="inlineStr">
        <is>
          <t>20 August 2026</t>
        </is>
      </c>
      <c r="I305" s="10" t="inlineStr">
        <is>
          <t>See cited dossier/report; issuer claims require primary-record verification where identified.</t>
        </is>
      </c>
    </row>
    <row r="306">
      <c r="C306" s="10" t="inlineStr">
        <is>
          <t>SRC-298</t>
        </is>
      </c>
      <c r="D306" s="10" t="inlineStr">
        <is>
          <t>Laboratory</t>
        </is>
      </c>
      <c r="E306" s="10" t="inlineStr">
        <is>
          <t>04-L04</t>
        </is>
      </c>
      <c r="F306" s="10" t="inlineStr">
        <is>
          <t>/home/ubuntu/george_asia_peptide_due_diligence/laboratories/04-L04.md</t>
        </is>
      </c>
      <c r="G306" s="18" t="inlineStr">
        <is>
          <t>https://www.intertek.com/pharmaceutical/analysis/qc/</t>
        </is>
      </c>
      <c r="H306" s="10" t="inlineStr">
        <is>
          <t>20 August 2026</t>
        </is>
      </c>
      <c r="I306" s="10" t="inlineStr">
        <is>
          <t>See cited dossier/report; issuer claims require primary-record verification where identified.</t>
        </is>
      </c>
    </row>
    <row r="307">
      <c r="C307" s="10" t="inlineStr">
        <is>
          <t>SRC-299</t>
        </is>
      </c>
      <c r="D307" s="10" t="inlineStr">
        <is>
          <t>Laboratory</t>
        </is>
      </c>
      <c r="E307" s="10" t="inlineStr">
        <is>
          <t>04-L04</t>
        </is>
      </c>
      <c r="F307" s="10" t="inlineStr">
        <is>
          <t>/home/ubuntu/george_asia_peptide_due_diligence/laboratories/04-L04.md</t>
        </is>
      </c>
      <c r="G307" s="18" t="inlineStr">
        <is>
          <t>https://www.intertek.com/pharmaceutical/analysis/extractables-leachables/</t>
        </is>
      </c>
      <c r="H307" s="10" t="inlineStr">
        <is>
          <t>20 August 2026</t>
        </is>
      </c>
      <c r="I307" s="10" t="inlineStr">
        <is>
          <t>See cited dossier/report; issuer claims require primary-record verification where identified.</t>
        </is>
      </c>
    </row>
    <row r="308">
      <c r="C308" s="10" t="inlineStr">
        <is>
          <t>SRC-300</t>
        </is>
      </c>
      <c r="D308" s="10" t="inlineStr">
        <is>
          <t>Laboratory</t>
        </is>
      </c>
      <c r="E308" s="10" t="inlineStr">
        <is>
          <t>04-L04</t>
        </is>
      </c>
      <c r="F308" s="10" t="inlineStr">
        <is>
          <t>/home/ubuntu/george_asia_peptide_due_diligence/laboratories/04-L04.md</t>
        </is>
      </c>
      <c r="G308" s="18" t="inlineStr">
        <is>
          <t>https://www.intertek.com/pharmaceutical/analysis/method-development-validation/</t>
        </is>
      </c>
      <c r="H308" s="10" t="inlineStr">
        <is>
          <t>20 August 2026</t>
        </is>
      </c>
      <c r="I308" s="10" t="inlineStr">
        <is>
          <t>See cited dossier/report; issuer claims require primary-record verification where identified.</t>
        </is>
      </c>
    </row>
    <row r="309">
      <c r="C309" s="10" t="inlineStr">
        <is>
          <t>SRC-301</t>
        </is>
      </c>
      <c r="D309" s="10" t="inlineStr">
        <is>
          <t>Laboratory</t>
        </is>
      </c>
      <c r="E309" s="10" t="inlineStr">
        <is>
          <t>04-L04</t>
        </is>
      </c>
      <c r="F309" s="10" t="inlineStr">
        <is>
          <t>/home/ubuntu/george_asia_peptide_due_diligence/laboratories/04-L04.md</t>
        </is>
      </c>
      <c r="G309" s="18" t="inlineStr">
        <is>
          <t>https://www.sahpra.org.za/wp-content/uploads/2022/09/SAHPGL-INSP-04_v5Guidelines-for-Preparation-of-Site-Master-File.pdf</t>
        </is>
      </c>
      <c r="H309" s="10" t="inlineStr">
        <is>
          <t>20 August 2026</t>
        </is>
      </c>
      <c r="I309" s="10" t="inlineStr">
        <is>
          <t>See cited dossier/report; issuer claims require primary-record verification where identified.</t>
        </is>
      </c>
    </row>
  </sheetData>
  <autoFilter ref="C8:I309"/>
  <hyperlinks>
    <hyperlink xmlns:r="http://schemas.openxmlformats.org/officeDocument/2006/relationships" ref="G9"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 xmlns:r="http://schemas.openxmlformats.org/officeDocument/2006/relationships" ref="G54" r:id="rId46"/>
    <hyperlink xmlns:r="http://schemas.openxmlformats.org/officeDocument/2006/relationships" ref="G55" r:id="rId47"/>
    <hyperlink xmlns:r="http://schemas.openxmlformats.org/officeDocument/2006/relationships" ref="G56" r:id="rId48"/>
    <hyperlink xmlns:r="http://schemas.openxmlformats.org/officeDocument/2006/relationships" ref="G57" r:id="rId49"/>
    <hyperlink xmlns:r="http://schemas.openxmlformats.org/officeDocument/2006/relationships" ref="G58" r:id="rId50"/>
    <hyperlink xmlns:r="http://schemas.openxmlformats.org/officeDocument/2006/relationships" ref="G59" r:id="rId51"/>
    <hyperlink xmlns:r="http://schemas.openxmlformats.org/officeDocument/2006/relationships" ref="G60" r:id="rId52"/>
    <hyperlink xmlns:r="http://schemas.openxmlformats.org/officeDocument/2006/relationships" ref="G61" r:id="rId53"/>
    <hyperlink xmlns:r="http://schemas.openxmlformats.org/officeDocument/2006/relationships" ref="G62" r:id="rId54"/>
    <hyperlink xmlns:r="http://schemas.openxmlformats.org/officeDocument/2006/relationships" ref="G63" r:id="rId55"/>
    <hyperlink xmlns:r="http://schemas.openxmlformats.org/officeDocument/2006/relationships" ref="G64" r:id="rId56"/>
    <hyperlink xmlns:r="http://schemas.openxmlformats.org/officeDocument/2006/relationships" ref="G65" r:id="rId57"/>
    <hyperlink xmlns:r="http://schemas.openxmlformats.org/officeDocument/2006/relationships" ref="G66" r:id="rId58"/>
    <hyperlink xmlns:r="http://schemas.openxmlformats.org/officeDocument/2006/relationships" ref="G67" r:id="rId59"/>
    <hyperlink xmlns:r="http://schemas.openxmlformats.org/officeDocument/2006/relationships" ref="G68" r:id="rId60"/>
    <hyperlink xmlns:r="http://schemas.openxmlformats.org/officeDocument/2006/relationships" ref="G69" r:id="rId61"/>
    <hyperlink xmlns:r="http://schemas.openxmlformats.org/officeDocument/2006/relationships" ref="G70" r:id="rId62"/>
    <hyperlink xmlns:r="http://schemas.openxmlformats.org/officeDocument/2006/relationships" ref="G71" r:id="rId63"/>
    <hyperlink xmlns:r="http://schemas.openxmlformats.org/officeDocument/2006/relationships" ref="G72" r:id="rId64"/>
    <hyperlink xmlns:r="http://schemas.openxmlformats.org/officeDocument/2006/relationships" ref="G73" r:id="rId65"/>
    <hyperlink xmlns:r="http://schemas.openxmlformats.org/officeDocument/2006/relationships" ref="G74" r:id="rId66"/>
    <hyperlink xmlns:r="http://schemas.openxmlformats.org/officeDocument/2006/relationships" ref="G75" r:id="rId67"/>
    <hyperlink xmlns:r="http://schemas.openxmlformats.org/officeDocument/2006/relationships" ref="G76" r:id="rId68"/>
    <hyperlink xmlns:r="http://schemas.openxmlformats.org/officeDocument/2006/relationships" ref="G77" r:id="rId69"/>
    <hyperlink xmlns:r="http://schemas.openxmlformats.org/officeDocument/2006/relationships" ref="G78" r:id="rId70"/>
    <hyperlink xmlns:r="http://schemas.openxmlformats.org/officeDocument/2006/relationships" ref="G79" r:id="rId71"/>
    <hyperlink xmlns:r="http://schemas.openxmlformats.org/officeDocument/2006/relationships" ref="G80" r:id="rId72"/>
    <hyperlink xmlns:r="http://schemas.openxmlformats.org/officeDocument/2006/relationships" ref="G81" r:id="rId73"/>
    <hyperlink xmlns:r="http://schemas.openxmlformats.org/officeDocument/2006/relationships" ref="G82" r:id="rId74"/>
    <hyperlink xmlns:r="http://schemas.openxmlformats.org/officeDocument/2006/relationships" ref="G83" r:id="rId75"/>
    <hyperlink xmlns:r="http://schemas.openxmlformats.org/officeDocument/2006/relationships" ref="G84" r:id="rId76"/>
    <hyperlink xmlns:r="http://schemas.openxmlformats.org/officeDocument/2006/relationships" ref="G85" r:id="rId77"/>
    <hyperlink xmlns:r="http://schemas.openxmlformats.org/officeDocument/2006/relationships" ref="G86" r:id="rId78"/>
    <hyperlink xmlns:r="http://schemas.openxmlformats.org/officeDocument/2006/relationships" ref="G87" r:id="rId79"/>
    <hyperlink xmlns:r="http://schemas.openxmlformats.org/officeDocument/2006/relationships" ref="G88" r:id="rId80"/>
    <hyperlink xmlns:r="http://schemas.openxmlformats.org/officeDocument/2006/relationships" ref="G89" r:id="rId81"/>
    <hyperlink xmlns:r="http://schemas.openxmlformats.org/officeDocument/2006/relationships" ref="G90" r:id="rId82"/>
    <hyperlink xmlns:r="http://schemas.openxmlformats.org/officeDocument/2006/relationships" ref="G91" r:id="rId83"/>
    <hyperlink xmlns:r="http://schemas.openxmlformats.org/officeDocument/2006/relationships" ref="G92" r:id="rId84"/>
    <hyperlink xmlns:r="http://schemas.openxmlformats.org/officeDocument/2006/relationships" ref="G93" r:id="rId85"/>
    <hyperlink xmlns:r="http://schemas.openxmlformats.org/officeDocument/2006/relationships" ref="G94" r:id="rId86"/>
    <hyperlink xmlns:r="http://schemas.openxmlformats.org/officeDocument/2006/relationships" ref="G95" r:id="rId87"/>
    <hyperlink xmlns:r="http://schemas.openxmlformats.org/officeDocument/2006/relationships" ref="G96" r:id="rId88"/>
    <hyperlink xmlns:r="http://schemas.openxmlformats.org/officeDocument/2006/relationships" ref="G97" r:id="rId89"/>
    <hyperlink xmlns:r="http://schemas.openxmlformats.org/officeDocument/2006/relationships" ref="G98" r:id="rId90"/>
    <hyperlink xmlns:r="http://schemas.openxmlformats.org/officeDocument/2006/relationships" ref="G99" r:id="rId91"/>
    <hyperlink xmlns:r="http://schemas.openxmlformats.org/officeDocument/2006/relationships" ref="G100" r:id="rId92"/>
    <hyperlink xmlns:r="http://schemas.openxmlformats.org/officeDocument/2006/relationships" ref="G101" r:id="rId93"/>
    <hyperlink xmlns:r="http://schemas.openxmlformats.org/officeDocument/2006/relationships" ref="G102" r:id="rId94"/>
    <hyperlink xmlns:r="http://schemas.openxmlformats.org/officeDocument/2006/relationships" ref="G103" r:id="rId95"/>
    <hyperlink xmlns:r="http://schemas.openxmlformats.org/officeDocument/2006/relationships" ref="G104" r:id="rId96"/>
    <hyperlink xmlns:r="http://schemas.openxmlformats.org/officeDocument/2006/relationships" ref="G105" r:id="rId97"/>
    <hyperlink xmlns:r="http://schemas.openxmlformats.org/officeDocument/2006/relationships" ref="G106" r:id="rId98"/>
    <hyperlink xmlns:r="http://schemas.openxmlformats.org/officeDocument/2006/relationships" ref="G107" r:id="rId99"/>
    <hyperlink xmlns:r="http://schemas.openxmlformats.org/officeDocument/2006/relationships" ref="G108" r:id="rId100"/>
    <hyperlink xmlns:r="http://schemas.openxmlformats.org/officeDocument/2006/relationships" ref="G109" r:id="rId101"/>
    <hyperlink xmlns:r="http://schemas.openxmlformats.org/officeDocument/2006/relationships" ref="G110" r:id="rId102"/>
    <hyperlink xmlns:r="http://schemas.openxmlformats.org/officeDocument/2006/relationships" ref="G111" r:id="rId103"/>
    <hyperlink xmlns:r="http://schemas.openxmlformats.org/officeDocument/2006/relationships" ref="G112" r:id="rId104"/>
    <hyperlink xmlns:r="http://schemas.openxmlformats.org/officeDocument/2006/relationships" ref="G113" r:id="rId105"/>
    <hyperlink xmlns:r="http://schemas.openxmlformats.org/officeDocument/2006/relationships" ref="G114" r:id="rId106"/>
    <hyperlink xmlns:r="http://schemas.openxmlformats.org/officeDocument/2006/relationships" ref="G115" r:id="rId107"/>
    <hyperlink xmlns:r="http://schemas.openxmlformats.org/officeDocument/2006/relationships" ref="G116" r:id="rId108"/>
    <hyperlink xmlns:r="http://schemas.openxmlformats.org/officeDocument/2006/relationships" ref="G117" r:id="rId109"/>
    <hyperlink xmlns:r="http://schemas.openxmlformats.org/officeDocument/2006/relationships" ref="G118" r:id="rId110"/>
    <hyperlink xmlns:r="http://schemas.openxmlformats.org/officeDocument/2006/relationships" ref="G119" r:id="rId111"/>
    <hyperlink xmlns:r="http://schemas.openxmlformats.org/officeDocument/2006/relationships" ref="G120" r:id="rId112"/>
    <hyperlink xmlns:r="http://schemas.openxmlformats.org/officeDocument/2006/relationships" ref="G121" r:id="rId113"/>
    <hyperlink xmlns:r="http://schemas.openxmlformats.org/officeDocument/2006/relationships" ref="G122" r:id="rId114"/>
    <hyperlink xmlns:r="http://schemas.openxmlformats.org/officeDocument/2006/relationships" ref="G123" r:id="rId115"/>
    <hyperlink xmlns:r="http://schemas.openxmlformats.org/officeDocument/2006/relationships" ref="G124" r:id="rId116"/>
    <hyperlink xmlns:r="http://schemas.openxmlformats.org/officeDocument/2006/relationships" ref="G125" r:id="rId117"/>
    <hyperlink xmlns:r="http://schemas.openxmlformats.org/officeDocument/2006/relationships" ref="G126" r:id="rId118"/>
    <hyperlink xmlns:r="http://schemas.openxmlformats.org/officeDocument/2006/relationships" ref="G127" r:id="rId119"/>
    <hyperlink xmlns:r="http://schemas.openxmlformats.org/officeDocument/2006/relationships" ref="G128" r:id="rId120"/>
    <hyperlink xmlns:r="http://schemas.openxmlformats.org/officeDocument/2006/relationships" ref="G129" r:id="rId121"/>
    <hyperlink xmlns:r="http://schemas.openxmlformats.org/officeDocument/2006/relationships" ref="G130" r:id="rId122"/>
    <hyperlink xmlns:r="http://schemas.openxmlformats.org/officeDocument/2006/relationships" ref="G131" r:id="rId123"/>
    <hyperlink xmlns:r="http://schemas.openxmlformats.org/officeDocument/2006/relationships" ref="G132" r:id="rId124"/>
    <hyperlink xmlns:r="http://schemas.openxmlformats.org/officeDocument/2006/relationships" ref="G133" r:id="rId125"/>
    <hyperlink xmlns:r="http://schemas.openxmlformats.org/officeDocument/2006/relationships" ref="G134" r:id="rId126"/>
    <hyperlink xmlns:r="http://schemas.openxmlformats.org/officeDocument/2006/relationships" ref="G135" r:id="rId127"/>
    <hyperlink xmlns:r="http://schemas.openxmlformats.org/officeDocument/2006/relationships" ref="G136" r:id="rId128"/>
    <hyperlink xmlns:r="http://schemas.openxmlformats.org/officeDocument/2006/relationships" ref="G137" r:id="rId129"/>
    <hyperlink xmlns:r="http://schemas.openxmlformats.org/officeDocument/2006/relationships" ref="G138" r:id="rId130"/>
    <hyperlink xmlns:r="http://schemas.openxmlformats.org/officeDocument/2006/relationships" ref="G139" r:id="rId131"/>
    <hyperlink xmlns:r="http://schemas.openxmlformats.org/officeDocument/2006/relationships" ref="G140" r:id="rId132"/>
    <hyperlink xmlns:r="http://schemas.openxmlformats.org/officeDocument/2006/relationships" ref="G141" r:id="rId133"/>
    <hyperlink xmlns:r="http://schemas.openxmlformats.org/officeDocument/2006/relationships" ref="G142" r:id="rId134"/>
    <hyperlink xmlns:r="http://schemas.openxmlformats.org/officeDocument/2006/relationships" ref="G143" r:id="rId135"/>
    <hyperlink xmlns:r="http://schemas.openxmlformats.org/officeDocument/2006/relationships" ref="G144" r:id="rId136"/>
    <hyperlink xmlns:r="http://schemas.openxmlformats.org/officeDocument/2006/relationships" ref="G145" r:id="rId137"/>
    <hyperlink xmlns:r="http://schemas.openxmlformats.org/officeDocument/2006/relationships" ref="G146" r:id="rId138"/>
    <hyperlink xmlns:r="http://schemas.openxmlformats.org/officeDocument/2006/relationships" ref="G147" r:id="rId139"/>
    <hyperlink xmlns:r="http://schemas.openxmlformats.org/officeDocument/2006/relationships" ref="G148" r:id="rId140"/>
    <hyperlink xmlns:r="http://schemas.openxmlformats.org/officeDocument/2006/relationships" ref="G149" r:id="rId141"/>
    <hyperlink xmlns:r="http://schemas.openxmlformats.org/officeDocument/2006/relationships" ref="G150" r:id="rId142"/>
    <hyperlink xmlns:r="http://schemas.openxmlformats.org/officeDocument/2006/relationships" ref="G151" r:id="rId143"/>
    <hyperlink xmlns:r="http://schemas.openxmlformats.org/officeDocument/2006/relationships" ref="G152" r:id="rId144"/>
    <hyperlink xmlns:r="http://schemas.openxmlformats.org/officeDocument/2006/relationships" ref="G153" r:id="rId145"/>
    <hyperlink xmlns:r="http://schemas.openxmlformats.org/officeDocument/2006/relationships" ref="G154" r:id="rId146"/>
    <hyperlink xmlns:r="http://schemas.openxmlformats.org/officeDocument/2006/relationships" ref="G155" r:id="rId147"/>
    <hyperlink xmlns:r="http://schemas.openxmlformats.org/officeDocument/2006/relationships" ref="G156" r:id="rId148"/>
    <hyperlink xmlns:r="http://schemas.openxmlformats.org/officeDocument/2006/relationships" ref="G157" r:id="rId149"/>
    <hyperlink xmlns:r="http://schemas.openxmlformats.org/officeDocument/2006/relationships" ref="G158" r:id="rId150"/>
    <hyperlink xmlns:r="http://schemas.openxmlformats.org/officeDocument/2006/relationships" ref="G159" r:id="rId151"/>
    <hyperlink xmlns:r="http://schemas.openxmlformats.org/officeDocument/2006/relationships" ref="G160" r:id="rId152"/>
    <hyperlink xmlns:r="http://schemas.openxmlformats.org/officeDocument/2006/relationships" ref="G161" r:id="rId153"/>
    <hyperlink xmlns:r="http://schemas.openxmlformats.org/officeDocument/2006/relationships" ref="G162" r:id="rId154"/>
    <hyperlink xmlns:r="http://schemas.openxmlformats.org/officeDocument/2006/relationships" ref="G163" r:id="rId155"/>
    <hyperlink xmlns:r="http://schemas.openxmlformats.org/officeDocument/2006/relationships" ref="G164" r:id="rId156"/>
    <hyperlink xmlns:r="http://schemas.openxmlformats.org/officeDocument/2006/relationships" ref="G165" r:id="rId157"/>
    <hyperlink xmlns:r="http://schemas.openxmlformats.org/officeDocument/2006/relationships" ref="G166" r:id="rId158"/>
    <hyperlink xmlns:r="http://schemas.openxmlformats.org/officeDocument/2006/relationships" ref="G167" r:id="rId159"/>
    <hyperlink xmlns:r="http://schemas.openxmlformats.org/officeDocument/2006/relationships" ref="G168" r:id="rId160"/>
    <hyperlink xmlns:r="http://schemas.openxmlformats.org/officeDocument/2006/relationships" ref="G169" r:id="rId161"/>
    <hyperlink xmlns:r="http://schemas.openxmlformats.org/officeDocument/2006/relationships" ref="G170" r:id="rId162"/>
    <hyperlink xmlns:r="http://schemas.openxmlformats.org/officeDocument/2006/relationships" ref="G171" r:id="rId163"/>
    <hyperlink xmlns:r="http://schemas.openxmlformats.org/officeDocument/2006/relationships" ref="G172" r:id="rId164"/>
    <hyperlink xmlns:r="http://schemas.openxmlformats.org/officeDocument/2006/relationships" ref="G173" r:id="rId165"/>
    <hyperlink xmlns:r="http://schemas.openxmlformats.org/officeDocument/2006/relationships" ref="G174" r:id="rId166"/>
    <hyperlink xmlns:r="http://schemas.openxmlformats.org/officeDocument/2006/relationships" ref="G175" r:id="rId167"/>
    <hyperlink xmlns:r="http://schemas.openxmlformats.org/officeDocument/2006/relationships" ref="G176" r:id="rId168"/>
    <hyperlink xmlns:r="http://schemas.openxmlformats.org/officeDocument/2006/relationships" ref="G177" r:id="rId169"/>
    <hyperlink xmlns:r="http://schemas.openxmlformats.org/officeDocument/2006/relationships" ref="G178" r:id="rId170"/>
    <hyperlink xmlns:r="http://schemas.openxmlformats.org/officeDocument/2006/relationships" ref="G179" r:id="rId171"/>
    <hyperlink xmlns:r="http://schemas.openxmlformats.org/officeDocument/2006/relationships" ref="G180" r:id="rId172"/>
    <hyperlink xmlns:r="http://schemas.openxmlformats.org/officeDocument/2006/relationships" ref="G181" r:id="rId173"/>
    <hyperlink xmlns:r="http://schemas.openxmlformats.org/officeDocument/2006/relationships" ref="G182" r:id="rId174"/>
    <hyperlink xmlns:r="http://schemas.openxmlformats.org/officeDocument/2006/relationships" ref="G183" r:id="rId175"/>
    <hyperlink xmlns:r="http://schemas.openxmlformats.org/officeDocument/2006/relationships" ref="G184" r:id="rId176"/>
    <hyperlink xmlns:r="http://schemas.openxmlformats.org/officeDocument/2006/relationships" ref="G185" r:id="rId177"/>
    <hyperlink xmlns:r="http://schemas.openxmlformats.org/officeDocument/2006/relationships" ref="G186" r:id="rId178"/>
    <hyperlink xmlns:r="http://schemas.openxmlformats.org/officeDocument/2006/relationships" ref="G187" r:id="rId179"/>
    <hyperlink xmlns:r="http://schemas.openxmlformats.org/officeDocument/2006/relationships" ref="G188" r:id="rId180"/>
    <hyperlink xmlns:r="http://schemas.openxmlformats.org/officeDocument/2006/relationships" ref="G189" r:id="rId181"/>
    <hyperlink xmlns:r="http://schemas.openxmlformats.org/officeDocument/2006/relationships" ref="G190" r:id="rId182"/>
    <hyperlink xmlns:r="http://schemas.openxmlformats.org/officeDocument/2006/relationships" ref="G191" r:id="rId183"/>
    <hyperlink xmlns:r="http://schemas.openxmlformats.org/officeDocument/2006/relationships" ref="G192" r:id="rId184"/>
    <hyperlink xmlns:r="http://schemas.openxmlformats.org/officeDocument/2006/relationships" ref="G193" r:id="rId185"/>
    <hyperlink xmlns:r="http://schemas.openxmlformats.org/officeDocument/2006/relationships" ref="G194" r:id="rId186"/>
    <hyperlink xmlns:r="http://schemas.openxmlformats.org/officeDocument/2006/relationships" ref="G195" r:id="rId187"/>
    <hyperlink xmlns:r="http://schemas.openxmlformats.org/officeDocument/2006/relationships" ref="G196" r:id="rId188"/>
    <hyperlink xmlns:r="http://schemas.openxmlformats.org/officeDocument/2006/relationships" ref="G197" r:id="rId189"/>
    <hyperlink xmlns:r="http://schemas.openxmlformats.org/officeDocument/2006/relationships" ref="G198" r:id="rId190"/>
    <hyperlink xmlns:r="http://schemas.openxmlformats.org/officeDocument/2006/relationships" ref="G199" r:id="rId191"/>
    <hyperlink xmlns:r="http://schemas.openxmlformats.org/officeDocument/2006/relationships" ref="G200" r:id="rId192"/>
    <hyperlink xmlns:r="http://schemas.openxmlformats.org/officeDocument/2006/relationships" ref="G201" r:id="rId193"/>
    <hyperlink xmlns:r="http://schemas.openxmlformats.org/officeDocument/2006/relationships" ref="G202" r:id="rId194"/>
    <hyperlink xmlns:r="http://schemas.openxmlformats.org/officeDocument/2006/relationships" ref="G203" r:id="rId195"/>
    <hyperlink xmlns:r="http://schemas.openxmlformats.org/officeDocument/2006/relationships" ref="G204" r:id="rId196"/>
    <hyperlink xmlns:r="http://schemas.openxmlformats.org/officeDocument/2006/relationships" ref="G205" r:id="rId197"/>
    <hyperlink xmlns:r="http://schemas.openxmlformats.org/officeDocument/2006/relationships" ref="G206" r:id="rId198"/>
    <hyperlink xmlns:r="http://schemas.openxmlformats.org/officeDocument/2006/relationships" ref="G207" r:id="rId199"/>
    <hyperlink xmlns:r="http://schemas.openxmlformats.org/officeDocument/2006/relationships" ref="G208" r:id="rId200"/>
    <hyperlink xmlns:r="http://schemas.openxmlformats.org/officeDocument/2006/relationships" ref="G209" r:id="rId201"/>
    <hyperlink xmlns:r="http://schemas.openxmlformats.org/officeDocument/2006/relationships" ref="G210" r:id="rId202"/>
    <hyperlink xmlns:r="http://schemas.openxmlformats.org/officeDocument/2006/relationships" ref="G211" r:id="rId203"/>
    <hyperlink xmlns:r="http://schemas.openxmlformats.org/officeDocument/2006/relationships" ref="G212" r:id="rId204"/>
    <hyperlink xmlns:r="http://schemas.openxmlformats.org/officeDocument/2006/relationships" ref="G213" r:id="rId205"/>
    <hyperlink xmlns:r="http://schemas.openxmlformats.org/officeDocument/2006/relationships" ref="G214" r:id="rId206"/>
    <hyperlink xmlns:r="http://schemas.openxmlformats.org/officeDocument/2006/relationships" ref="G215" r:id="rId207"/>
    <hyperlink xmlns:r="http://schemas.openxmlformats.org/officeDocument/2006/relationships" ref="G216" r:id="rId208"/>
    <hyperlink xmlns:r="http://schemas.openxmlformats.org/officeDocument/2006/relationships" ref="G217" r:id="rId209"/>
    <hyperlink xmlns:r="http://schemas.openxmlformats.org/officeDocument/2006/relationships" ref="G218" r:id="rId210"/>
    <hyperlink xmlns:r="http://schemas.openxmlformats.org/officeDocument/2006/relationships" ref="G219" r:id="rId211"/>
    <hyperlink xmlns:r="http://schemas.openxmlformats.org/officeDocument/2006/relationships" ref="G220" r:id="rId212"/>
    <hyperlink xmlns:r="http://schemas.openxmlformats.org/officeDocument/2006/relationships" ref="G221" r:id="rId213"/>
    <hyperlink xmlns:r="http://schemas.openxmlformats.org/officeDocument/2006/relationships" ref="G222" r:id="rId214"/>
    <hyperlink xmlns:r="http://schemas.openxmlformats.org/officeDocument/2006/relationships" ref="G223" r:id="rId215"/>
    <hyperlink xmlns:r="http://schemas.openxmlformats.org/officeDocument/2006/relationships" ref="G224" r:id="rId216"/>
    <hyperlink xmlns:r="http://schemas.openxmlformats.org/officeDocument/2006/relationships" ref="G225" r:id="rId217"/>
    <hyperlink xmlns:r="http://schemas.openxmlformats.org/officeDocument/2006/relationships" ref="G226" r:id="rId218"/>
    <hyperlink xmlns:r="http://schemas.openxmlformats.org/officeDocument/2006/relationships" ref="G227" r:id="rId219"/>
    <hyperlink xmlns:r="http://schemas.openxmlformats.org/officeDocument/2006/relationships" ref="G228" r:id="rId220"/>
    <hyperlink xmlns:r="http://schemas.openxmlformats.org/officeDocument/2006/relationships" ref="G229" r:id="rId221"/>
    <hyperlink xmlns:r="http://schemas.openxmlformats.org/officeDocument/2006/relationships" ref="G230" r:id="rId222"/>
    <hyperlink xmlns:r="http://schemas.openxmlformats.org/officeDocument/2006/relationships" ref="G231" r:id="rId223"/>
    <hyperlink xmlns:r="http://schemas.openxmlformats.org/officeDocument/2006/relationships" ref="G232" r:id="rId224"/>
    <hyperlink xmlns:r="http://schemas.openxmlformats.org/officeDocument/2006/relationships" ref="G233" r:id="rId225"/>
    <hyperlink xmlns:r="http://schemas.openxmlformats.org/officeDocument/2006/relationships" ref="G234" r:id="rId226"/>
    <hyperlink xmlns:r="http://schemas.openxmlformats.org/officeDocument/2006/relationships" ref="G235" r:id="rId227"/>
    <hyperlink xmlns:r="http://schemas.openxmlformats.org/officeDocument/2006/relationships" ref="G236" r:id="rId228"/>
    <hyperlink xmlns:r="http://schemas.openxmlformats.org/officeDocument/2006/relationships" ref="G237" r:id="rId229"/>
    <hyperlink xmlns:r="http://schemas.openxmlformats.org/officeDocument/2006/relationships" ref="G238" r:id="rId230"/>
    <hyperlink xmlns:r="http://schemas.openxmlformats.org/officeDocument/2006/relationships" ref="G239" r:id="rId231"/>
    <hyperlink xmlns:r="http://schemas.openxmlformats.org/officeDocument/2006/relationships" ref="G240" r:id="rId232"/>
    <hyperlink xmlns:r="http://schemas.openxmlformats.org/officeDocument/2006/relationships" ref="G241" r:id="rId233"/>
    <hyperlink xmlns:r="http://schemas.openxmlformats.org/officeDocument/2006/relationships" ref="G242" r:id="rId234"/>
    <hyperlink xmlns:r="http://schemas.openxmlformats.org/officeDocument/2006/relationships" ref="G243" r:id="rId235"/>
    <hyperlink xmlns:r="http://schemas.openxmlformats.org/officeDocument/2006/relationships" ref="G244" r:id="rId236"/>
    <hyperlink xmlns:r="http://schemas.openxmlformats.org/officeDocument/2006/relationships" ref="G245" r:id="rId237"/>
    <hyperlink xmlns:r="http://schemas.openxmlformats.org/officeDocument/2006/relationships" ref="G246" r:id="rId238"/>
    <hyperlink xmlns:r="http://schemas.openxmlformats.org/officeDocument/2006/relationships" ref="G247" r:id="rId239"/>
    <hyperlink xmlns:r="http://schemas.openxmlformats.org/officeDocument/2006/relationships" ref="G248" r:id="rId240"/>
    <hyperlink xmlns:r="http://schemas.openxmlformats.org/officeDocument/2006/relationships" ref="G249" r:id="rId241"/>
    <hyperlink xmlns:r="http://schemas.openxmlformats.org/officeDocument/2006/relationships" ref="G250" r:id="rId242"/>
    <hyperlink xmlns:r="http://schemas.openxmlformats.org/officeDocument/2006/relationships" ref="G251" r:id="rId243"/>
    <hyperlink xmlns:r="http://schemas.openxmlformats.org/officeDocument/2006/relationships" ref="G252" r:id="rId244"/>
    <hyperlink xmlns:r="http://schemas.openxmlformats.org/officeDocument/2006/relationships" ref="G253" r:id="rId245"/>
    <hyperlink xmlns:r="http://schemas.openxmlformats.org/officeDocument/2006/relationships" ref="G254" r:id="rId246"/>
    <hyperlink xmlns:r="http://schemas.openxmlformats.org/officeDocument/2006/relationships" ref="G255" r:id="rId247"/>
    <hyperlink xmlns:r="http://schemas.openxmlformats.org/officeDocument/2006/relationships" ref="G256" r:id="rId248"/>
    <hyperlink xmlns:r="http://schemas.openxmlformats.org/officeDocument/2006/relationships" ref="G257" r:id="rId249"/>
    <hyperlink xmlns:r="http://schemas.openxmlformats.org/officeDocument/2006/relationships" ref="G258" r:id="rId250"/>
    <hyperlink xmlns:r="http://schemas.openxmlformats.org/officeDocument/2006/relationships" ref="G259" r:id="rId251"/>
    <hyperlink xmlns:r="http://schemas.openxmlformats.org/officeDocument/2006/relationships" ref="G260" r:id="rId252"/>
    <hyperlink xmlns:r="http://schemas.openxmlformats.org/officeDocument/2006/relationships" ref="G261" r:id="rId253"/>
    <hyperlink xmlns:r="http://schemas.openxmlformats.org/officeDocument/2006/relationships" ref="G262" r:id="rId254"/>
    <hyperlink xmlns:r="http://schemas.openxmlformats.org/officeDocument/2006/relationships" ref="G263" r:id="rId255"/>
    <hyperlink xmlns:r="http://schemas.openxmlformats.org/officeDocument/2006/relationships" ref="G264" r:id="rId256"/>
    <hyperlink xmlns:r="http://schemas.openxmlformats.org/officeDocument/2006/relationships" ref="G265" r:id="rId257"/>
    <hyperlink xmlns:r="http://schemas.openxmlformats.org/officeDocument/2006/relationships" ref="G266" r:id="rId258"/>
    <hyperlink xmlns:r="http://schemas.openxmlformats.org/officeDocument/2006/relationships" ref="G267" r:id="rId259"/>
    <hyperlink xmlns:r="http://schemas.openxmlformats.org/officeDocument/2006/relationships" ref="G268" r:id="rId260"/>
    <hyperlink xmlns:r="http://schemas.openxmlformats.org/officeDocument/2006/relationships" ref="G269" r:id="rId261"/>
    <hyperlink xmlns:r="http://schemas.openxmlformats.org/officeDocument/2006/relationships" ref="G270" r:id="rId262"/>
    <hyperlink xmlns:r="http://schemas.openxmlformats.org/officeDocument/2006/relationships" ref="G271" r:id="rId263"/>
    <hyperlink xmlns:r="http://schemas.openxmlformats.org/officeDocument/2006/relationships" ref="G272" r:id="rId264"/>
    <hyperlink xmlns:r="http://schemas.openxmlformats.org/officeDocument/2006/relationships" ref="G273" r:id="rId265"/>
    <hyperlink xmlns:r="http://schemas.openxmlformats.org/officeDocument/2006/relationships" ref="G274" r:id="rId266"/>
    <hyperlink xmlns:r="http://schemas.openxmlformats.org/officeDocument/2006/relationships" ref="G275" r:id="rId267"/>
    <hyperlink xmlns:r="http://schemas.openxmlformats.org/officeDocument/2006/relationships" ref="G276" r:id="rId268"/>
    <hyperlink xmlns:r="http://schemas.openxmlformats.org/officeDocument/2006/relationships" ref="G277" r:id="rId269"/>
    <hyperlink xmlns:r="http://schemas.openxmlformats.org/officeDocument/2006/relationships" ref="G278" r:id="rId270"/>
    <hyperlink xmlns:r="http://schemas.openxmlformats.org/officeDocument/2006/relationships" ref="G279" r:id="rId271"/>
    <hyperlink xmlns:r="http://schemas.openxmlformats.org/officeDocument/2006/relationships" ref="G280" r:id="rId272"/>
    <hyperlink xmlns:r="http://schemas.openxmlformats.org/officeDocument/2006/relationships" ref="G281" r:id="rId273"/>
    <hyperlink xmlns:r="http://schemas.openxmlformats.org/officeDocument/2006/relationships" ref="G282" r:id="rId274"/>
    <hyperlink xmlns:r="http://schemas.openxmlformats.org/officeDocument/2006/relationships" ref="G283" r:id="rId275"/>
    <hyperlink xmlns:r="http://schemas.openxmlformats.org/officeDocument/2006/relationships" ref="G284" r:id="rId276"/>
    <hyperlink xmlns:r="http://schemas.openxmlformats.org/officeDocument/2006/relationships" ref="G285" r:id="rId277"/>
    <hyperlink xmlns:r="http://schemas.openxmlformats.org/officeDocument/2006/relationships" ref="G286" r:id="rId278"/>
    <hyperlink xmlns:r="http://schemas.openxmlformats.org/officeDocument/2006/relationships" ref="G287" r:id="rId279"/>
    <hyperlink xmlns:r="http://schemas.openxmlformats.org/officeDocument/2006/relationships" ref="G288" r:id="rId280"/>
    <hyperlink xmlns:r="http://schemas.openxmlformats.org/officeDocument/2006/relationships" ref="G289" r:id="rId281"/>
    <hyperlink xmlns:r="http://schemas.openxmlformats.org/officeDocument/2006/relationships" ref="G290" r:id="rId282"/>
    <hyperlink xmlns:r="http://schemas.openxmlformats.org/officeDocument/2006/relationships" ref="G291" r:id="rId283"/>
    <hyperlink xmlns:r="http://schemas.openxmlformats.org/officeDocument/2006/relationships" ref="G292" r:id="rId284"/>
    <hyperlink xmlns:r="http://schemas.openxmlformats.org/officeDocument/2006/relationships" ref="G293" r:id="rId285"/>
    <hyperlink xmlns:r="http://schemas.openxmlformats.org/officeDocument/2006/relationships" ref="G294" r:id="rId286"/>
    <hyperlink xmlns:r="http://schemas.openxmlformats.org/officeDocument/2006/relationships" ref="G295" r:id="rId287"/>
    <hyperlink xmlns:r="http://schemas.openxmlformats.org/officeDocument/2006/relationships" ref="G296" r:id="rId288"/>
    <hyperlink xmlns:r="http://schemas.openxmlformats.org/officeDocument/2006/relationships" ref="G297" r:id="rId289"/>
    <hyperlink xmlns:r="http://schemas.openxmlformats.org/officeDocument/2006/relationships" ref="G298" r:id="rId290"/>
    <hyperlink xmlns:r="http://schemas.openxmlformats.org/officeDocument/2006/relationships" ref="G299" r:id="rId291"/>
    <hyperlink xmlns:r="http://schemas.openxmlformats.org/officeDocument/2006/relationships" ref="G300" r:id="rId292"/>
    <hyperlink xmlns:r="http://schemas.openxmlformats.org/officeDocument/2006/relationships" ref="G301" r:id="rId293"/>
    <hyperlink xmlns:r="http://schemas.openxmlformats.org/officeDocument/2006/relationships" ref="G302" r:id="rId294"/>
    <hyperlink xmlns:r="http://schemas.openxmlformats.org/officeDocument/2006/relationships" ref="G303" r:id="rId295"/>
    <hyperlink xmlns:r="http://schemas.openxmlformats.org/officeDocument/2006/relationships" ref="G304" r:id="rId296"/>
    <hyperlink xmlns:r="http://schemas.openxmlformats.org/officeDocument/2006/relationships" ref="G305" r:id="rId297"/>
    <hyperlink xmlns:r="http://schemas.openxmlformats.org/officeDocument/2006/relationships" ref="G306" r:id="rId298"/>
    <hyperlink xmlns:r="http://schemas.openxmlformats.org/officeDocument/2006/relationships" ref="G307" r:id="rId299"/>
    <hyperlink xmlns:r="http://schemas.openxmlformats.org/officeDocument/2006/relationships" ref="G308" r:id="rId300"/>
    <hyperlink xmlns:r="http://schemas.openxmlformats.org/officeDocument/2006/relationships" ref="G309" r:id="rId301"/>
  </hyperlinks>
  <pageMargins left="0.75" right="0.75" top="1" bottom="1" header="0.5" footer="0.5"/>
  <pageSetup orientation="landscape" fitToHeight="0" fitToWidth="1"/>
  <headerFooter>
    <oddHeader/>
    <oddFooter>&amp;C&amp;8 &amp;K666666Source Register | Page &amp;P of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Manus</dc:creator>
  <dc:title xmlns:dc="http://purl.org/dc/elements/1.1/">George Asian Peptide Supplier Qualification Tracker</dc:title>
  <dc:description xmlns:dc="http://purl.org/dc/elements/1.1/">Public-evidence prequalification screen and live diligence tracker; not supplier approval.</dc:description>
  <dc:subject xmlns:dc="http://purl.org/dc/elements/1.1/">Manufacturer, laboratory and supply-chain due diligence</dc:subject>
  <dcterms:created xmlns:dcterms="http://purl.org/dc/terms/" xmlns:xsi="http://www.w3.org/2001/XMLSchema-instance" xsi:type="dcterms:W3CDTF">2026-08-21T20:37:48Z</dcterms:created>
  <dcterms:modified xmlns:dcterms="http://purl.org/dc/terms/" xmlns:xsi="http://www.w3.org/2001/XMLSchema-instance" xsi:type="dcterms:W3CDTF">2026-08-21T20:37:48Z</dcterms:modified>
</cp:coreProperties>
</file>