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90-Day Budget" sheetId="2" state="visible" r:id="rId2"/>
    <sheet xmlns:r="http://schemas.openxmlformats.org/officeDocument/2006/relationships" name="Weekly Plan" sheetId="3" state="visible" r:id="rId3"/>
    <sheet xmlns:r="http://schemas.openxmlformats.org/officeDocument/2006/relationships" name="Content Calendar" sheetId="4" state="visible" r:id="rId4"/>
    <sheet xmlns:r="http://schemas.openxmlformats.org/officeDocument/2006/relationships" name="KPI Tracker" sheetId="5" state="visible" r:id="rId5"/>
    <sheet xmlns:r="http://schemas.openxmlformats.org/officeDocument/2006/relationships" name="Claim Register" sheetId="6" state="visible" r:id="rId6"/>
    <sheet xmlns:r="http://schemas.openxmlformats.org/officeDocument/2006/relationships" name="Assumptions &amp; Gates" sheetId="7" state="visible" r:id="rId7"/>
  </sheets>
  <definedNames>
    <definedName name="_xlnm._FilterDatabase" localSheetId="2" hidden="1">'Weekly Plan'!$B$5:$J$18</definedName>
    <definedName name="_xlnm._FilterDatabase" localSheetId="3" hidden="1">'Content Calendar'!$B$5:$L$44</definedName>
    <definedName name="_xlnm._FilterDatabase" localSheetId="4" hidden="1">'KPI Tracker'!$B$5:$V$18</definedName>
    <definedName name="_xlnm._FilterDatabase" localSheetId="5" hidden="1">'Claim Register'!$B$5:$L$25</definedName>
  </definedNames>
  <calcPr calcId="124519" calcMode="auto" fullCalcOnLoad="1" forceFullCalc="1"/>
</workbook>
</file>

<file path=xl/styles.xml><?xml version="1.0" encoding="utf-8"?>
<styleSheet xmlns="http://schemas.openxmlformats.org/spreadsheetml/2006/main">
  <numFmts count="5">
    <numFmt numFmtId="164" formatCode="yyyy-mm-dd"/>
    <numFmt numFmtId="165" formatCode="dd mmm yyyy"/>
    <numFmt numFmtId="166" formatCode="R #,##0;[Red]-R #,##0"/>
    <numFmt numFmtId="167" formatCode="0.0%"/>
    <numFmt numFmtId="168" formatCode="0.00x"/>
  </numFmts>
  <fonts count="14">
    <font>
      <name val="Calibri"/>
      <family val="2"/>
      <color theme="1"/>
      <sz val="11"/>
      <scheme val="minor"/>
    </font>
    <font>
      <name val="Georgia"/>
      <b val="1"/>
      <color rgb="001A5F5F"/>
      <sz val="20"/>
    </font>
    <font>
      <name val="Calibri"/>
      <i val="1"/>
      <color rgb="00667085"/>
      <sz val="10"/>
    </font>
    <font>
      <name val="Georgia"/>
      <b val="1"/>
      <color rgb="00FFFFFF"/>
      <sz val="12"/>
    </font>
    <font>
      <name val="Calibri"/>
      <b val="1"/>
      <color rgb="001F2933"/>
      <sz val="11"/>
    </font>
    <font>
      <name val="Calibri"/>
      <color rgb="000563C1"/>
      <sz val="10"/>
      <u val="single"/>
    </font>
    <font>
      <name val="Calibri"/>
      <color rgb="00667085"/>
      <sz val="10"/>
    </font>
    <font>
      <name val="Calibri"/>
      <b val="1"/>
      <color rgb="001F2933"/>
      <sz val="10"/>
    </font>
    <font>
      <name val="Calibri"/>
      <color rgb="001F2933"/>
      <sz val="10"/>
    </font>
    <font>
      <name val="Calibri"/>
      <i val="1"/>
      <color rgb="00667085"/>
      <sz val="9"/>
    </font>
    <font>
      <name val="Georgia"/>
      <b val="1"/>
      <color rgb="00FFFFFF"/>
      <sz val="10"/>
    </font>
    <font>
      <name val="Georgia"/>
      <b val="1"/>
      <color rgb="001A5F5F"/>
      <sz val="11"/>
    </font>
    <font>
      <name val="Georgia"/>
      <b val="1"/>
      <color rgb="00FFFFFF"/>
      <sz val="11"/>
    </font>
    <font>
      <name val="Calibri"/>
      <b val="1"/>
      <color rgb="00FFFFFF"/>
      <sz val="10"/>
    </font>
  </fonts>
  <fills count="10">
    <fill>
      <patternFill/>
    </fill>
    <fill>
      <patternFill patternType="gray125"/>
    </fill>
    <fill>
      <patternFill patternType="solid">
        <fgColor rgb="001A5F5F"/>
      </patternFill>
    </fill>
    <fill>
      <patternFill patternType="solid">
        <fgColor rgb="00D3E5E5"/>
      </patternFill>
    </fill>
    <fill>
      <patternFill patternType="solid">
        <fgColor rgb="00FFFDE7"/>
      </patternFill>
    </fill>
    <fill>
      <patternFill patternType="solid">
        <fgColor rgb="00DCEEFF"/>
      </patternFill>
    </fill>
    <fill>
      <patternFill patternType="solid">
        <fgColor rgb="00173F3F"/>
      </patternFill>
    </fill>
    <fill>
      <patternFill patternType="solid">
        <fgColor rgb="00EFF7F6"/>
      </patternFill>
    </fill>
    <fill>
      <patternFill patternType="solid">
        <fgColor rgb="00FFFFFF"/>
      </patternFill>
    </fill>
    <fill>
      <patternFill patternType="solid">
        <fgColor rgb="00E8F5E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5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center"/>
    </xf>
    <xf numFmtId="0" fontId="4" fillId="3" borderId="1" applyAlignment="1" pivotButton="0" quotePrefix="0" xfId="0">
      <alignment vertical="center" wrapText="1"/>
    </xf>
    <xf numFmtId="0" fontId="5" fillId="0" borderId="0" pivotButton="0" quotePrefix="0" xfId="0"/>
    <xf numFmtId="0" fontId="6" fillId="0" borderId="0" pivotButton="0" quotePrefix="0" xfId="0"/>
    <xf numFmtId="0" fontId="7" fillId="0" borderId="0" pivotButton="0" quotePrefix="0" xfId="0"/>
    <xf numFmtId="165" fontId="8" fillId="4" borderId="1" pivotButton="0" quotePrefix="0" xfId="0"/>
    <xf numFmtId="0" fontId="9" fillId="0" borderId="0" applyAlignment="1" pivotButton="0" quotePrefix="0" xfId="0">
      <alignment wrapText="1"/>
    </xf>
    <xf numFmtId="0" fontId="8" fillId="4" borderId="1" pivotButton="0" quotePrefix="0" xfId="0"/>
    <xf numFmtId="166" fontId="0" fillId="4" borderId="1" pivotButton="0" quotePrefix="0" xfId="0"/>
    <xf numFmtId="0" fontId="6" fillId="0" borderId="0" applyAlignment="1" pivotButton="0" quotePrefix="0" xfId="0">
      <alignment vertical="top" wrapText="1"/>
    </xf>
    <xf numFmtId="167" fontId="0" fillId="4" borderId="1" pivotButton="0" quotePrefix="0" xfId="0"/>
    <xf numFmtId="166" fontId="0" fillId="5" borderId="1" pivotButton="0" quotePrefix="0" xfId="0"/>
    <xf numFmtId="0" fontId="10" fillId="6" borderId="1" applyAlignment="1" pivotButton="0" quotePrefix="0" xfId="0">
      <alignment horizontal="center" vertical="center" wrapText="1"/>
    </xf>
    <xf numFmtId="0" fontId="8" fillId="7" borderId="1" applyAlignment="1" pivotButton="0" quotePrefix="0" xfId="0">
      <alignment vertical="top"/>
    </xf>
    <xf numFmtId="166" fontId="8" fillId="7" borderId="1" applyAlignment="1" pivotButton="0" quotePrefix="0" xfId="0">
      <alignment vertical="top"/>
    </xf>
    <xf numFmtId="0" fontId="8" fillId="7" borderId="1" applyAlignment="1" pivotButton="0" quotePrefix="0" xfId="0">
      <alignment vertical="top" wrapText="1"/>
    </xf>
    <xf numFmtId="0" fontId="8" fillId="9" borderId="1" applyAlignment="1" pivotButton="0" quotePrefix="0" xfId="0">
      <alignment vertical="top"/>
    </xf>
    <xf numFmtId="166" fontId="8" fillId="9" borderId="1" applyAlignment="1" pivotButton="0" quotePrefix="0" xfId="0">
      <alignment vertical="top"/>
    </xf>
    <xf numFmtId="0" fontId="8" fillId="9" borderId="1" applyAlignment="1" pivotButton="0" quotePrefix="0" xfId="0">
      <alignment vertical="top" wrapText="1"/>
    </xf>
    <xf numFmtId="0" fontId="11" fillId="0" borderId="0" pivotButton="0" quotePrefix="0" xfId="0"/>
    <xf numFmtId="0" fontId="9" fillId="0" borderId="0" applyAlignment="1" pivotButton="0" quotePrefix="0" xfId="0">
      <alignment vertical="top" wrapText="1"/>
    </xf>
    <xf numFmtId="0" fontId="8" fillId="8" borderId="1" applyAlignment="1" pivotButton="0" quotePrefix="0" xfId="0">
      <alignment vertical="top" wrapText="1"/>
    </xf>
    <xf numFmtId="166" fontId="8" fillId="8" borderId="1" applyAlignment="1" pivotButton="0" quotePrefix="0" xfId="0">
      <alignment vertical="top"/>
    </xf>
    <xf numFmtId="166" fontId="8" fillId="4" borderId="1" applyAlignment="1" pivotButton="0" quotePrefix="0" xfId="0">
      <alignment vertical="top"/>
    </xf>
    <xf numFmtId="0" fontId="8" fillId="4" borderId="1" applyAlignment="1" pivotButton="0" quotePrefix="0" xfId="0">
      <alignment vertical="top"/>
    </xf>
    <xf numFmtId="0" fontId="10" fillId="2" borderId="1" pivotButton="0" quotePrefix="0" xfId="0"/>
    <xf numFmtId="166" fontId="10" fillId="2" borderId="1" pivotButton="0" quotePrefix="0" xfId="0"/>
    <xf numFmtId="0" fontId="10" fillId="2" borderId="1" applyAlignment="1" pivotButton="0" quotePrefix="0" xfId="0">
      <alignment wrapText="1"/>
    </xf>
    <xf numFmtId="0" fontId="8" fillId="8" borderId="1" applyAlignment="1" pivotButton="0" quotePrefix="0" xfId="0">
      <alignment vertical="top"/>
    </xf>
    <xf numFmtId="167" fontId="8" fillId="8" borderId="1" applyAlignment="1" pivotButton="0" quotePrefix="0" xfId="0">
      <alignment vertical="top"/>
    </xf>
    <xf numFmtId="167" fontId="8" fillId="7" borderId="1" applyAlignment="1" pivotButton="0" quotePrefix="0" xfId="0">
      <alignment vertical="top"/>
    </xf>
    <xf numFmtId="0" fontId="13" fillId="2" borderId="1" pivotButton="0" quotePrefix="0" xfId="0"/>
    <xf numFmtId="166" fontId="13" fillId="2" borderId="1" pivotButton="0" quotePrefix="0" xfId="0"/>
    <xf numFmtId="0" fontId="0" fillId="2" borderId="1" pivotButton="0" quotePrefix="0" xfId="0"/>
    <xf numFmtId="165" fontId="8" fillId="7" borderId="1" applyAlignment="1" pivotButton="0" quotePrefix="0" xfId="0">
      <alignment vertical="top"/>
    </xf>
    <xf numFmtId="165" fontId="8" fillId="8" borderId="1" applyAlignment="1" pivotButton="0" quotePrefix="0" xfId="0">
      <alignment vertical="top"/>
    </xf>
    <xf numFmtId="3" fontId="8" fillId="4" borderId="1" applyAlignment="1" pivotButton="0" quotePrefix="0" xfId="0">
      <alignment vertical="top"/>
    </xf>
    <xf numFmtId="168" fontId="8" fillId="7" borderId="1" applyAlignment="1" pivotButton="0" quotePrefix="0" xfId="0">
      <alignment vertical="top"/>
    </xf>
    <xf numFmtId="0" fontId="8" fillId="4" borderId="1" applyAlignment="1" pivotButton="0" quotePrefix="0" xfId="0">
      <alignment vertical="top" wrapText="1"/>
    </xf>
    <xf numFmtId="168" fontId="8" fillId="8" borderId="1" applyAlignment="1" pivotButton="0" quotePrefix="0" xfId="0">
      <alignment vertical="top"/>
    </xf>
    <xf numFmtId="3" fontId="10" fillId="2" borderId="1" pivotButton="0" quotePrefix="0" xfId="0"/>
    <xf numFmtId="167" fontId="10" fillId="2" borderId="1" pivotButton="0" quotePrefix="0" xfId="0"/>
    <xf numFmtId="168" fontId="10" fillId="2" borderId="1" pivotButton="0" quotePrefix="0" xfId="0"/>
    <xf numFmtId="0" fontId="6" fillId="0" borderId="0" applyAlignment="1" pivotButton="0" quotePrefix="0" xfId="0">
      <alignment wrapText="1"/>
    </xf>
    <xf numFmtId="165" fontId="8" fillId="4" borderId="1" applyAlignment="1" pivotButton="0" quotePrefix="0" xfId="0">
      <alignment vertical="top"/>
    </xf>
    <xf numFmtId="0" fontId="5" fillId="8"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dxfs count="3">
    <dxf>
      <fill>
        <patternFill patternType="solid">
          <fgColor rgb="00E8F5E9"/>
        </patternFill>
      </fill>
    </dxf>
    <dxf>
      <fill>
        <patternFill patternType="solid">
          <fgColor rgb="00FFEBEE"/>
        </patternFill>
      </fill>
    </dxf>
    <dxf>
      <fill>
        <patternFill patternType="solid">
          <fgColor rgb="00FFF3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90-Day Budget Scenarios</a:t>
            </a:r>
          </a:p>
        </rich>
      </tx>
    </title>
    <plotArea>
      <barChart>
        <barDir val="col"/>
        <grouping val="clustered"/>
        <ser>
          <idx val="0"/>
          <order val="0"/>
          <tx>
            <strRef>
              <f>'Overview'!C35</f>
            </strRef>
          </tx>
          <spPr>
            <a:ln xmlns:a="http://schemas.openxmlformats.org/drawingml/2006/main">
              <a:prstDash val="solid"/>
            </a:ln>
          </spPr>
          <cat>
            <numRef>
              <f>'Overview'!$B$36:$B$38</f>
            </numRef>
          </cat>
          <val>
            <numRef>
              <f>'Overview'!$C$36:$C$38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South African rand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34</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90-Day Budget'!B2" TargetMode="External" Id="rId1"/><Relationship Type="http://schemas.openxmlformats.org/officeDocument/2006/relationships/hyperlink" Target="#'Weekly Plan'!B2" TargetMode="External" Id="rId2"/><Relationship Type="http://schemas.openxmlformats.org/officeDocument/2006/relationships/hyperlink" Target="#'Content Calendar'!B2" TargetMode="External" Id="rId3"/><Relationship Type="http://schemas.openxmlformats.org/officeDocument/2006/relationships/hyperlink" Target="#'KPI Tracker'!B2" TargetMode="External" Id="rId4"/><Relationship Type="http://schemas.openxmlformats.org/officeDocument/2006/relationships/hyperlink" Target="#'Claim Register'!B2" TargetMode="External" Id="rId5"/><Relationship Type="http://schemas.openxmlformats.org/officeDocument/2006/relationships/hyperlink" Target="#'Assumptions &amp; Gates'!B2" TargetMode="External" Id="rId6"/><Relationship Type="http://schemas.openxmlformats.org/officeDocument/2006/relationships/drawing" Target="/xl/drawings/drawing1.xml" Id="rId7"/></Relationships>
</file>

<file path=xl/worksheets/_rels/sheet7.xml.rels><Relationships xmlns="http://schemas.openxmlformats.org/package/2006/relationships"><Relationship Type="http://schemas.openxmlformats.org/officeDocument/2006/relationships/hyperlink" Target="https://www.sahpra.org.za/wp-content/uploads/2022/06/SAHPGL-INSP-RC-07-Guidelines-for-Advertisement-of-Medicines-and-Health-Products.pdf" TargetMode="External" Id="rId1"/><Relationship Type="http://schemas.openxmlformats.org/officeDocument/2006/relationships/hyperlink" Target="https://support.google.com/adspolicy/answer/176031?hl=en" TargetMode="External" Id="rId2"/><Relationship Type="http://schemas.openxmlformats.org/officeDocument/2006/relationships/hyperlink" Target="https://transparency.meta.com/policies/ad-standards/restricted-goods-services/drugs-pharmaceuticals/" TargetMode="External" Id="rId3"/><Relationship Type="http://schemas.openxmlformats.org/officeDocument/2006/relationships/hyperlink" Target="https://ads.tiktok.com/help/article/tiktok-ads-policy-healthcare-pharmaceuticals" TargetMode="External" Id="rId4"/><Relationship Type="http://schemas.openxmlformats.org/officeDocument/2006/relationships/hyperlink" Target="https://inforegulator.org.za/guidance-notes/" TargetMode="External" Id="rId5"/></Relationships>
</file>

<file path=xl/worksheets/sheet1.xml><?xml version="1.0" encoding="utf-8"?>
<worksheet xmlns="http://schemas.openxmlformats.org/spreadsheetml/2006/main">
  <sheetPr>
    <outlinePr summaryBelow="1" summaryRight="1"/>
    <pageSetUpPr fitToPage="1"/>
  </sheetPr>
  <dimension ref="A1:K45"/>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5" customWidth="1" min="2" max="2"/>
    <col width="22" customWidth="1" min="3" max="3"/>
    <col width="20"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10" customHeight="1"/>
    <row r="2" ht="30" customHeight="1">
      <c r="B2" s="1" t="inlineStr">
        <is>
          <t>George: 90-Day Marketing Dashboard</t>
        </is>
      </c>
    </row>
    <row r="3" ht="28" customHeight="1">
      <c r="B3" s="2" t="inlineStr">
        <is>
          <t>Editable planning workbook. Yellow cells require business input. Base planning budget: R36,000.</t>
        </is>
      </c>
    </row>
    <row r="4"/>
    <row r="5" ht="23" customHeight="1">
      <c r="B5" s="3" t="inlineStr">
        <is>
          <t>EXECUTIVE DECISION</t>
        </is>
      </c>
    </row>
    <row r="6">
      <c r="B6" s="4" t="inlineStr">
        <is>
          <t>Recommended starting point: Base scenario (R36,000). Build the compliant conversion foundation in Month 1, test one acquisition path in Month 2, and concentrate on the winning topic and source in Month 3. Paid media remains approval-gated.</t>
        </is>
      </c>
    </row>
    <row r="7"/>
    <row r="8"/>
    <row r="9" ht="23" customHeight="1">
      <c r="B9" s="3" t="inlineStr">
        <is>
          <t>WORKBOOK CONTENTS</t>
        </is>
      </c>
    </row>
    <row r="10">
      <c r="B10" s="5" t="inlineStr">
        <is>
          <t>90-Day Budget</t>
        </is>
      </c>
      <c r="C10" s="6" t="inlineStr">
        <is>
          <t>Scenario budgets, base monthly phasing, actual spend, and variance</t>
        </is>
      </c>
    </row>
    <row r="11">
      <c r="B11" s="5" t="inlineStr">
        <is>
          <t>Weekly Plan</t>
        </is>
      </c>
      <c r="C11" s="6" t="inlineStr">
        <is>
          <t>13-week objectives, actions, owners, gates, and status</t>
        </is>
      </c>
    </row>
    <row r="12">
      <c r="B12" s="5" t="inlineStr">
        <is>
          <t>Content Calendar</t>
        </is>
      </c>
      <c r="C12" s="6" t="inlineStr">
        <is>
          <t>Three content items per week with approval controls</t>
        </is>
      </c>
    </row>
    <row r="13">
      <c r="B13" s="5" t="inlineStr">
        <is>
          <t>KPI Tracker</t>
        </is>
      </c>
      <c r="C13" s="6" t="inlineStr">
        <is>
          <t>Weekly spend, traffic, enquiries, conversions, and economics</t>
        </is>
      </c>
    </row>
    <row r="14">
      <c r="B14" s="5" t="inlineStr">
        <is>
          <t>Claim Register</t>
        </is>
      </c>
      <c r="C14" s="6" t="inlineStr">
        <is>
          <t>Claim evidence, scope, approval, and publication status</t>
        </is>
      </c>
    </row>
    <row r="15">
      <c r="B15" s="5" t="inlineStr">
        <is>
          <t>Assumptions &amp; Gates</t>
        </is>
      </c>
      <c r="C15" s="6" t="inlineStr">
        <is>
          <t>Open decisions, compliance checklist, and official sources</t>
        </is>
      </c>
    </row>
    <row r="16"/>
    <row r="17" ht="23" customHeight="1">
      <c r="B17" s="3" t="inlineStr">
        <is>
          <t>EDITABLE PLAN INPUTS</t>
        </is>
      </c>
    </row>
    <row r="18">
      <c r="B18" s="7" t="inlineStr">
        <is>
          <t>Plan start date</t>
        </is>
      </c>
      <c r="C18" s="8" t="n">
        <v>46258</v>
      </c>
      <c r="D18" s="9" t="inlineStr">
        <is>
          <t>Change this date; weekly dates recalculate.</t>
        </is>
      </c>
    </row>
    <row r="19">
      <c r="B19" s="7" t="inlineStr">
        <is>
          <t>Selected scenario</t>
        </is>
      </c>
      <c r="C19" s="10" t="inlineStr">
        <is>
          <t>Base</t>
        </is>
      </c>
      <c r="D19" s="9" t="inlineStr">
        <is>
          <t>Lean = R18,000; Base = R36,000; Growth = R72,000.</t>
        </is>
      </c>
    </row>
    <row r="20">
      <c r="B20" s="7" t="inlineStr">
        <is>
          <t>Operating model</t>
        </is>
      </c>
      <c r="C20" s="10" t="inlineStr">
        <is>
          <t>TO CONFIRM</t>
        </is>
      </c>
      <c r="D20" s="9" t="inlineStr">
        <is>
          <t>Clinic-led care, research supply, cosmetics, supplements, or education.</t>
        </is>
      </c>
    </row>
    <row r="21">
      <c r="B21" s="7" t="inlineStr">
        <is>
          <t>Primary conversion</t>
        </is>
      </c>
      <c r="C21" s="10" t="inlineStr">
        <is>
          <t>WhatsApp / web enquiry</t>
        </is>
      </c>
      <c r="D21" s="9" t="inlineStr">
        <is>
          <t>Replace with consultation, research enquiry, quote, waitlist, or compliant sale.</t>
        </is>
      </c>
    </row>
    <row r="22">
      <c r="B22" s="7" t="inlineStr">
        <is>
          <t>Priority geography</t>
        </is>
      </c>
      <c r="C22" s="10" t="inlineStr">
        <is>
          <t>South Africa</t>
        </is>
      </c>
      <c r="D22" s="9" t="inlineStr">
        <is>
          <t>Refine to city/region if fulfilment or service coverage is limited.</t>
        </is>
      </c>
    </row>
    <row r="23"/>
    <row r="24" ht="23" customHeight="1">
      <c r="B24" s="3" t="inlineStr">
        <is>
          <t>UNIT ECONOMICS INPUTS</t>
        </is>
      </c>
    </row>
    <row r="25">
      <c r="B25" s="7" t="inlineStr">
        <is>
          <t>Gross profit per conversion</t>
        </is>
      </c>
      <c r="C25" s="11" t="n"/>
      <c r="D25" s="12" t="inlineStr">
        <is>
          <t>Enter real gross profit, fulfilment, payment cost, desired contribution, and observed conversion rate before scaling media. The maximum affordable acquisition figures update automatically. These are management thresholds, not revenue forecasts.</t>
        </is>
      </c>
    </row>
    <row r="26">
      <c r="B26" s="7" t="inlineStr">
        <is>
          <t>Fulfilment cost per conversion</t>
        </is>
      </c>
      <c r="C26" s="11" t="n"/>
    </row>
    <row r="27">
      <c r="B27" s="7" t="inlineStr">
        <is>
          <t>Payment cost per conversion</t>
        </is>
      </c>
      <c r="C27" s="11" t="n"/>
    </row>
    <row r="28">
      <c r="B28" s="7" t="inlineStr">
        <is>
          <t>Desired contribution per conversion</t>
        </is>
      </c>
      <c r="C28" s="11" t="n"/>
    </row>
    <row r="29">
      <c r="B29" s="7" t="inlineStr">
        <is>
          <t>Qualified-enquiry-to-conversion rate</t>
        </is>
      </c>
      <c r="C29" s="13" t="n">
        <v>0.25</v>
      </c>
    </row>
    <row r="30"/>
    <row r="31">
      <c r="B31" s="7" t="inlineStr">
        <is>
          <t>Maximum affordable CAC</t>
        </is>
      </c>
      <c r="C31" s="14">
        <f>IF(COUNTA(C25:C28)&lt;4,"INPUT REQUIRED",MAX(0,C25-C26-C27-C28))</f>
        <v/>
      </c>
    </row>
    <row r="32">
      <c r="B32" s="7" t="inlineStr">
        <is>
          <t>Maximum qualified-enquiry cost</t>
        </is>
      </c>
      <c r="C32" s="14">
        <f>IF(OR(NOT(ISNUMBER(C31)),C29=""),"INPUT REQUIRED",C31*C29)</f>
        <v/>
      </c>
    </row>
    <row r="33"/>
    <row r="34" ht="23" customHeight="1">
      <c r="B34" s="3" t="inlineStr">
        <is>
          <t>SCENARIO SUMMARY</t>
        </is>
      </c>
    </row>
    <row r="35" ht="32" customHeight="1">
      <c r="B35" s="15" t="inlineStr">
        <is>
          <t>Scenario</t>
        </is>
      </c>
      <c r="C35" s="15" t="inlineStr">
        <is>
          <t>90-day budget</t>
        </is>
      </c>
      <c r="D35" s="15" t="inlineStr">
        <is>
          <t>Conditional paid media</t>
        </is>
      </c>
      <c r="E35" s="15" t="inlineStr">
        <is>
          <t>Foundation/content</t>
        </is>
      </c>
      <c r="F35" s="15" t="inlineStr">
        <is>
          <t>Recommended use</t>
        </is>
      </c>
    </row>
    <row r="36">
      <c r="B36" s="16" t="inlineStr">
        <is>
          <t>Lean</t>
        </is>
      </c>
      <c r="C36" s="17">
        <f>'90-Day Budget'!C18</f>
        <v/>
      </c>
      <c r="D36" s="17">
        <f>'90-Day Budget'!C14</f>
        <v/>
      </c>
      <c r="E36" s="17">
        <f>C36-D36</f>
        <v/>
      </c>
      <c r="F36" s="18" t="inlineStr">
        <is>
          <t>Founder-led validation with minimal suppliers</t>
        </is>
      </c>
    </row>
    <row r="37">
      <c r="B37" s="19" t="inlineStr">
        <is>
          <t>Base</t>
        </is>
      </c>
      <c r="C37" s="20">
        <f>'90-Day Budget'!D18</f>
        <v/>
      </c>
      <c r="D37" s="20">
        <f>'90-Day Budget'!D14</f>
        <v/>
      </c>
      <c r="E37" s="20">
        <f>C37-D37</f>
        <v/>
      </c>
      <c r="F37" s="21" t="inlineStr">
        <is>
          <t>Recommended controlled launch and learning plan</t>
        </is>
      </c>
    </row>
    <row r="38">
      <c r="B38" s="16" t="inlineStr">
        <is>
          <t>Growth</t>
        </is>
      </c>
      <c r="C38" s="17">
        <f>'90-Day Budget'!E18</f>
        <v/>
      </c>
      <c r="D38" s="17">
        <f>'90-Day Budget'!E14</f>
        <v/>
      </c>
      <c r="E38" s="17">
        <f>C38-D38</f>
        <v/>
      </c>
      <c r="F38" s="18" t="inlineStr">
        <is>
          <t>Only after proven eligibility, economics, and capacity</t>
        </is>
      </c>
    </row>
    <row r="39"/>
    <row r="40"/>
    <row r="41"/>
    <row r="42">
      <c r="B42" s="22" t="inlineStr">
        <is>
          <t>Professional note</t>
        </is>
      </c>
    </row>
    <row r="43">
      <c r="B43" s="23" t="inlineStr">
        <is>
          <t>This workbook is a planning tool, not legal, regulatory, medical, pharmacy, tax, or financial advice. Confirm product status, licensing, claims, privacy, platform eligibility, fulfilment capacity, supplier pricing, and unit economics with appropriately qualified professionals before launch.</t>
        </is>
      </c>
    </row>
    <row r="44"/>
    <row r="45"/>
  </sheetData>
  <mergeCells count="21">
    <mergeCell ref="D20:K20"/>
    <mergeCell ref="B9:K9"/>
    <mergeCell ref="D19:K19"/>
    <mergeCell ref="C15:G15"/>
    <mergeCell ref="C14:G14"/>
    <mergeCell ref="D22:K22"/>
    <mergeCell ref="B24:K24"/>
    <mergeCell ref="B5:K5"/>
    <mergeCell ref="D21:K21"/>
    <mergeCell ref="C10:G10"/>
    <mergeCell ref="B3:K3"/>
    <mergeCell ref="B6:K7"/>
    <mergeCell ref="C12:G12"/>
    <mergeCell ref="D25:K32"/>
    <mergeCell ref="C11:G11"/>
    <mergeCell ref="B43:K45"/>
    <mergeCell ref="B2:K2"/>
    <mergeCell ref="D18:K18"/>
    <mergeCell ref="B17:K17"/>
    <mergeCell ref="B34:K34"/>
    <mergeCell ref="C13:G13"/>
  </mergeCells>
  <dataValidations count="2">
    <dataValidation sqref="C19" showDropDown="0" showInputMessage="0" showErrorMessage="0" allowBlank="1" errorTitle="Invalid status" error="Choose a value from the list." type="list">
      <formula1>"Lean,Base,Growth"</formula1>
    </dataValidation>
    <dataValidation sqref="C20" showDropDown="0" showInputMessage="0" showErrorMessage="0" allowBlank="1" errorTitle="Invalid status" error="Choose a value from the list." type="list">
      <formula1>"TO CONFIRM,Clinic-led care,Research supply,Cosmetics,Supplements,Education"</formula1>
    </dataValidation>
  </dataValidations>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4" r:id="rId5"/>
    <hyperlink xmlns:r="http://schemas.openxmlformats.org/officeDocument/2006/relationships" ref="B15" r:id="rId6"/>
  </hyperlinks>
  <pageMargins left="0.75" right="0.75" top="1" bottom="1" header="0.5" footer="0.5"/>
  <pageSetup fitToHeight="0" fitToWidth="1"/>
  <headerFooter>
    <oddHeader/>
    <oddFooter>&amp;CGeorge 90-Day Marketing Plan | Confidential working document&amp;RPage &amp;P of &amp;N</oddFooter>
    <evenHeader/>
    <evenFooter/>
    <firstHeader/>
    <firstFooter/>
  </headerFooter>
  <drawing xmlns:r="http://schemas.openxmlformats.org/officeDocument/2006/relationships" r:id="rId7"/>
</worksheet>
</file>

<file path=xl/worksheets/sheet2.xml><?xml version="1.0" encoding="utf-8"?>
<worksheet xmlns="http://schemas.openxmlformats.org/spreadsheetml/2006/main">
  <sheetPr>
    <outlinePr summaryBelow="1" summaryRight="1"/>
    <pageSetUpPr fitToPage="1"/>
  </sheetPr>
  <dimension ref="A1:L35"/>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6" customWidth="1" min="11" max="11"/>
    <col width="36" customWidth="1" min="12" max="12"/>
  </cols>
  <sheetData>
    <row r="1" ht="10" customHeight="1"/>
    <row r="2" ht="30" customHeight="1">
      <c r="B2" s="1" t="inlineStr">
        <is>
          <t>90-Day Marketing Budget</t>
        </is>
      </c>
    </row>
    <row r="3" ht="28" customHeight="1">
      <c r="B3" s="2" t="inlineStr">
        <is>
          <t>All figures are planning assumptions in South African rand. Actual spend and variance fields are editable.</t>
        </is>
      </c>
    </row>
    <row r="4"/>
    <row r="5" ht="23" customHeight="1">
      <c r="B5" s="3" t="inlineStr">
        <is>
          <t>SCENARIO AND BASE PHASING</t>
        </is>
      </c>
    </row>
    <row r="6" ht="32" customHeight="1">
      <c r="B6" s="15" t="inlineStr">
        <is>
          <t>Category</t>
        </is>
      </c>
      <c r="C6" s="15" t="inlineStr">
        <is>
          <t>Lean</t>
        </is>
      </c>
      <c r="D6" s="15" t="inlineStr">
        <is>
          <t>Base</t>
        </is>
      </c>
      <c r="E6" s="15" t="inlineStr">
        <is>
          <t>Growth</t>
        </is>
      </c>
      <c r="F6" s="15" t="inlineStr">
        <is>
          <t>Base: Days 1–30</t>
        </is>
      </c>
      <c r="G6" s="15" t="inlineStr">
        <is>
          <t>Base: Days 31–60</t>
        </is>
      </c>
      <c r="H6" s="15" t="inlineStr">
        <is>
          <t>Base: Days 61–90</t>
        </is>
      </c>
      <c r="I6" s="15" t="inlineStr">
        <is>
          <t>Actual total</t>
        </is>
      </c>
      <c r="J6" s="15" t="inlineStr">
        <is>
          <t>Variance to Base</t>
        </is>
      </c>
      <c r="K6" s="15" t="inlineStr">
        <is>
          <t>Actual status</t>
        </is>
      </c>
      <c r="L6" s="15" t="inlineStr">
        <is>
          <t>Purpose / release condition</t>
        </is>
      </c>
    </row>
    <row r="7">
      <c r="B7" s="24" t="inlineStr">
        <is>
          <t>Compliance and professional review</t>
        </is>
      </c>
      <c r="C7" s="25" t="n">
        <v>1500</v>
      </c>
      <c r="D7" s="25" t="n">
        <v>3000</v>
      </c>
      <c r="E7" s="25" t="n">
        <v>4000</v>
      </c>
      <c r="F7" s="25" t="n">
        <v>2500</v>
      </c>
      <c r="G7" s="25" t="n">
        <v>500</v>
      </c>
      <c r="H7" s="25" t="n">
        <v>0</v>
      </c>
      <c r="I7" s="26" t="n"/>
      <c r="J7" s="25">
        <f>IF(I7="","",I7-D7)</f>
        <v/>
      </c>
      <c r="K7" s="27" t="inlineStr">
        <is>
          <t>Not started</t>
        </is>
      </c>
      <c r="L7" s="24" t="inlineStr">
        <is>
          <t>Verify model, claims, registrations, policies, and scripts</t>
        </is>
      </c>
    </row>
    <row r="8">
      <c r="B8" s="18" t="inlineStr">
        <is>
          <t>Website and landing-page work</t>
        </is>
      </c>
      <c r="C8" s="17" t="n">
        <v>2500</v>
      </c>
      <c r="D8" s="17" t="n">
        <v>4500</v>
      </c>
      <c r="E8" s="17" t="n">
        <v>7000</v>
      </c>
      <c r="F8" s="17" t="n">
        <v>3500</v>
      </c>
      <c r="G8" s="17" t="n">
        <v>500</v>
      </c>
      <c r="H8" s="17" t="n">
        <v>500</v>
      </c>
      <c r="I8" s="26" t="n"/>
      <c r="J8" s="17">
        <f>IF(I8="","",I8-D8)</f>
        <v/>
      </c>
      <c r="K8" s="27" t="inlineStr">
        <is>
          <t>Not started</t>
        </is>
      </c>
      <c r="L8" s="18" t="inlineStr">
        <is>
          <t>Build or improve one trustworthy conversion path</t>
        </is>
      </c>
    </row>
    <row r="9">
      <c r="B9" s="24" t="inlineStr">
        <is>
          <t>Analytics, CRM, and tracking</t>
        </is>
      </c>
      <c r="C9" s="25" t="n">
        <v>1000</v>
      </c>
      <c r="D9" s="25" t="n">
        <v>2000</v>
      </c>
      <c r="E9" s="25" t="n">
        <v>3000</v>
      </c>
      <c r="F9" s="25" t="n">
        <v>1500</v>
      </c>
      <c r="G9" s="25" t="n">
        <v>250</v>
      </c>
      <c r="H9" s="25" t="n">
        <v>250</v>
      </c>
      <c r="I9" s="26" t="n"/>
      <c r="J9" s="25">
        <f>IF(I9="","",I9-D9)</f>
        <v/>
      </c>
      <c r="K9" s="27" t="inlineStr">
        <is>
          <t>Not started</t>
        </is>
      </c>
      <c r="L9" s="24" t="inlineStr">
        <is>
          <t>Events, UTMs, dashboard, source and consent records</t>
        </is>
      </c>
    </row>
    <row r="10">
      <c r="B10" s="18" t="inlineStr">
        <is>
          <t>SEO and content production</t>
        </is>
      </c>
      <c r="C10" s="17" t="n">
        <v>4000</v>
      </c>
      <c r="D10" s="17" t="n">
        <v>7500</v>
      </c>
      <c r="E10" s="17" t="n">
        <v>14000</v>
      </c>
      <c r="F10" s="17" t="n">
        <v>2500</v>
      </c>
      <c r="G10" s="17" t="n">
        <v>2500</v>
      </c>
      <c r="H10" s="17" t="n">
        <v>2500</v>
      </c>
      <c r="I10" s="26" t="n"/>
      <c r="J10" s="17">
        <f>IF(I10="","",I10-D10)</f>
        <v/>
      </c>
      <c r="K10" s="27" t="inlineStr">
        <is>
          <t>Not started</t>
        </is>
      </c>
      <c r="L10" s="18" t="inlineStr">
        <is>
          <t>Hub, six articles, research, editing, and on-page SEO</t>
        </is>
      </c>
    </row>
    <row r="11">
      <c r="B11" s="24" t="inlineStr">
        <is>
          <t>Organic social production</t>
        </is>
      </c>
      <c r="C11" s="25" t="n">
        <v>3000</v>
      </c>
      <c r="D11" s="25" t="n">
        <v>5000</v>
      </c>
      <c r="E11" s="25" t="n">
        <v>10000</v>
      </c>
      <c r="F11" s="25" t="n">
        <v>1500</v>
      </c>
      <c r="G11" s="25" t="n">
        <v>1750</v>
      </c>
      <c r="H11" s="25" t="n">
        <v>1750</v>
      </c>
      <c r="I11" s="26" t="n"/>
      <c r="J11" s="25">
        <f>IF(I11="","",I11-D11)</f>
        <v/>
      </c>
      <c r="K11" s="27" t="inlineStr">
        <is>
          <t>Not started</t>
        </is>
      </c>
      <c r="L11" s="24" t="inlineStr">
        <is>
          <t>Weekly video, carousel, FAQ, editing, and scheduling</t>
        </is>
      </c>
    </row>
    <row r="12">
      <c r="B12" s="18" t="inlineStr">
        <is>
          <t>Google Search media</t>
        </is>
      </c>
      <c r="C12" s="17" t="n">
        <v>3500</v>
      </c>
      <c r="D12" s="17" t="n">
        <v>7500</v>
      </c>
      <c r="E12" s="17" t="n">
        <v>23000</v>
      </c>
      <c r="F12" s="17" t="n">
        <v>0</v>
      </c>
      <c r="G12" s="17" t="n">
        <v>3000</v>
      </c>
      <c r="H12" s="17" t="n">
        <v>4500</v>
      </c>
      <c r="I12" s="26" t="n"/>
      <c r="J12" s="17">
        <f>IF(I12="","",I12-D12)</f>
        <v/>
      </c>
      <c r="K12" s="27" t="inlineStr">
        <is>
          <t>Not started</t>
        </is>
      </c>
      <c r="L12" s="18" t="inlineStr">
        <is>
          <t>Release only after eligibility, tracking, and landing-page gates</t>
        </is>
      </c>
    </row>
    <row r="13">
      <c r="B13" s="24" t="inlineStr">
        <is>
          <t>Creative/media reserve</t>
        </is>
      </c>
      <c r="C13" s="25" t="n">
        <v>0</v>
      </c>
      <c r="D13" s="25" t="n">
        <v>1500</v>
      </c>
      <c r="E13" s="25" t="n">
        <v>4000</v>
      </c>
      <c r="F13" s="25" t="n">
        <v>500</v>
      </c>
      <c r="G13" s="25" t="n">
        <v>500</v>
      </c>
      <c r="H13" s="25" t="n">
        <v>500</v>
      </c>
      <c r="I13" s="26" t="n"/>
      <c r="J13" s="25">
        <f>IF(I13="","",I13-D13)</f>
        <v/>
      </c>
      <c r="K13" s="27" t="inlineStr">
        <is>
          <t>Not started</t>
        </is>
      </c>
      <c r="L13" s="24" t="inlineStr">
        <is>
          <t>Approved variations, photography, and format adaptation</t>
        </is>
      </c>
    </row>
    <row r="14">
      <c r="B14" s="18" t="inlineStr">
        <is>
          <t>Email/WhatsApp software</t>
        </is>
      </c>
      <c r="C14" s="17" t="n">
        <v>500</v>
      </c>
      <c r="D14" s="17" t="n">
        <v>750</v>
      </c>
      <c r="E14" s="17" t="n">
        <v>1000</v>
      </c>
      <c r="F14" s="17" t="n">
        <v>250</v>
      </c>
      <c r="G14" s="17" t="n">
        <v>250</v>
      </c>
      <c r="H14" s="17" t="n">
        <v>250</v>
      </c>
      <c r="I14" s="26" t="n"/>
      <c r="J14" s="17">
        <f>IF(I14="","",I14-D14)</f>
        <v/>
      </c>
      <c r="K14" s="27" t="inlineStr">
        <is>
          <t>Not started</t>
        </is>
      </c>
      <c r="L14" s="18" t="inlineStr">
        <is>
          <t>Consent-based lead response and follow-up tools</t>
        </is>
      </c>
    </row>
    <row r="15">
      <c r="B15" s="24" t="inlineStr">
        <is>
          <t>Conversion optimization</t>
        </is>
      </c>
      <c r="C15" s="25" t="n">
        <v>0</v>
      </c>
      <c r="D15" s="25" t="n">
        <v>0</v>
      </c>
      <c r="E15" s="25" t="n">
        <v>3000</v>
      </c>
      <c r="F15" s="25" t="n">
        <v>0</v>
      </c>
      <c r="G15" s="25" t="n">
        <v>0</v>
      </c>
      <c r="H15" s="25" t="n">
        <v>0</v>
      </c>
      <c r="I15" s="26" t="n"/>
      <c r="J15" s="25">
        <f>IF(I15="","",I15-D15)</f>
        <v/>
      </c>
      <c r="K15" s="27" t="inlineStr">
        <is>
          <t>Not started</t>
        </is>
      </c>
      <c r="L15" s="24" t="inlineStr">
        <is>
          <t>Growth tests after sufficient traffic and clean data</t>
        </is>
      </c>
    </row>
    <row r="16">
      <c r="B16" s="18" t="inlineStr">
        <is>
          <t>Contingency</t>
        </is>
      </c>
      <c r="C16" s="17" t="n">
        <v>2000</v>
      </c>
      <c r="D16" s="17" t="n">
        <v>4250</v>
      </c>
      <c r="E16" s="17" t="n">
        <v>3000</v>
      </c>
      <c r="F16" s="17" t="n">
        <v>750</v>
      </c>
      <c r="G16" s="17" t="n">
        <v>1750</v>
      </c>
      <c r="H16" s="17" t="n">
        <v>1750</v>
      </c>
      <c r="I16" s="26" t="n"/>
      <c r="J16" s="17">
        <f>IF(I16="","",I16-D16)</f>
        <v/>
      </c>
      <c r="K16" s="27" t="inlineStr">
        <is>
          <t>Not started</t>
        </is>
      </c>
      <c r="L16" s="18" t="inlineStr">
        <is>
          <t>Unexpected fixes; not automatic media spend</t>
        </is>
      </c>
    </row>
    <row r="17"/>
    <row r="18">
      <c r="B18" s="28" t="inlineStr">
        <is>
          <t>TOTAL</t>
        </is>
      </c>
      <c r="C18" s="29">
        <f>SUM(C7:C16)</f>
        <v/>
      </c>
      <c r="D18" s="29">
        <f>SUM(D7:D16)</f>
        <v/>
      </c>
      <c r="E18" s="29">
        <f>SUM(E7:E16)</f>
        <v/>
      </c>
      <c r="F18" s="29">
        <f>SUM(F7:F16)</f>
        <v/>
      </c>
      <c r="G18" s="29">
        <f>SUM(G7:G16)</f>
        <v/>
      </c>
      <c r="H18" s="29">
        <f>SUM(H7:H16)</f>
        <v/>
      </c>
      <c r="I18" s="29">
        <f>SUM(I7:I16)</f>
        <v/>
      </c>
      <c r="J18" s="29">
        <f>IF(I18="","",I18-D18)</f>
        <v/>
      </c>
      <c r="K18" s="28" t="n"/>
      <c r="L18" s="30" t="inlineStr">
        <is>
          <t>Totals must reconcile before approval.</t>
        </is>
      </c>
    </row>
    <row r="19"/>
    <row r="20"/>
    <row r="21" ht="23" customHeight="1">
      <c r="B21" s="3" t="inlineStr">
        <is>
          <t>BASE BUDGET MONTHLY SUMMARY</t>
        </is>
      </c>
    </row>
    <row r="22" ht="32" customHeight="1">
      <c r="B22" s="15" t="inlineStr">
        <is>
          <t>Period</t>
        </is>
      </c>
      <c r="C22" s="15" t="inlineStr">
        <is>
          <t>Planned spend</t>
        </is>
      </c>
      <c r="D22" s="15" t="inlineStr">
        <is>
          <t>Share of base budget</t>
        </is>
      </c>
      <c r="E22" s="15" t="inlineStr">
        <is>
          <t>Primary purpose</t>
        </is>
      </c>
    </row>
    <row r="23">
      <c r="B23" s="31" t="inlineStr">
        <is>
          <t>Days 1–30</t>
        </is>
      </c>
      <c r="C23" s="25">
        <f>SUM(F7:F16)</f>
        <v/>
      </c>
      <c r="D23" s="32">
        <f>C23/$C$26</f>
        <v/>
      </c>
      <c r="E23" s="24" t="inlineStr">
        <is>
          <t>Operating model, compliance, conversion path, analytics, trust pages, soft launch</t>
        </is>
      </c>
    </row>
    <row r="24">
      <c r="B24" s="16" t="inlineStr">
        <is>
          <t>Days 31–60</t>
        </is>
      </c>
      <c r="C24" s="17">
        <f>SUM(G7:G16)</f>
        <v/>
      </c>
      <c r="D24" s="33">
        <f>C24/$C$26</f>
        <v/>
      </c>
      <c r="E24" s="18" t="inlineStr">
        <is>
          <t>Message validation, conditional search test, content, lead-quality review</t>
        </is>
      </c>
    </row>
    <row r="25">
      <c r="B25" s="31" t="inlineStr">
        <is>
          <t>Days 61–90</t>
        </is>
      </c>
      <c r="C25" s="25">
        <f>SUM(H7:H16)</f>
        <v/>
      </c>
      <c r="D25" s="32">
        <f>C25/$C$26</f>
        <v/>
      </c>
      <c r="E25" s="24" t="inlineStr">
        <is>
          <t>Concentrate on winning cluster, conversion, referrals, decision</t>
        </is>
      </c>
    </row>
    <row r="26">
      <c r="B26" s="16" t="inlineStr">
        <is>
          <t>TOTAL</t>
        </is>
      </c>
      <c r="C26" s="17">
        <f>SUM(C23:C25)</f>
        <v/>
      </c>
      <c r="D26" s="33">
        <f>SUM(D23:D25)</f>
        <v/>
      </c>
      <c r="E26" s="18" t="inlineStr">
        <is>
          <t>Base 90-day plan</t>
        </is>
      </c>
    </row>
    <row r="27"/>
    <row r="28"/>
    <row r="29" ht="23" customHeight="1">
      <c r="B29" s="3" t="inlineStr">
        <is>
          <t>IF GOOGLE SEARCH IS NOT ELIGIBLE BY DAY 31</t>
        </is>
      </c>
    </row>
    <row r="30" ht="32" customHeight="1">
      <c r="B30" s="15" t="inlineStr">
        <is>
          <t>Reallocation category</t>
        </is>
      </c>
      <c r="C30" s="15" t="inlineStr">
        <is>
          <t>Amount</t>
        </is>
      </c>
      <c r="D30" s="15" t="inlineStr">
        <is>
          <t>Condition</t>
        </is>
      </c>
    </row>
    <row r="31">
      <c r="B31" s="31" t="inlineStr">
        <is>
          <t>Additional search content</t>
        </is>
      </c>
      <c r="C31" s="25" t="n">
        <v>3000</v>
      </c>
      <c r="D31" s="24" t="inlineStr">
        <is>
          <t>Build deeper coverage of the best compliant topic cluster</t>
        </is>
      </c>
    </row>
    <row r="32">
      <c r="B32" s="16" t="inlineStr">
        <is>
          <t>Partner/referral outreach</t>
        </is>
      </c>
      <c r="C32" s="17" t="n">
        <v>2000</v>
      </c>
      <c r="D32" s="18" t="inlineStr">
        <is>
          <t>Information pack, outreach support, and relationship follow-up</t>
        </is>
      </c>
    </row>
    <row r="33">
      <c r="B33" s="31" t="inlineStr">
        <is>
          <t>Conversion improvements</t>
        </is>
      </c>
      <c r="C33" s="25" t="n">
        <v>1500</v>
      </c>
      <c r="D33" s="24" t="inlineStr">
        <is>
          <t>Improve page clarity, form completion, trust proof, and response flow</t>
        </is>
      </c>
    </row>
    <row r="34">
      <c r="B34" s="16" t="inlineStr">
        <is>
          <t>Compliance or technical fixes</t>
        </is>
      </c>
      <c r="C34" s="17" t="n">
        <v>1000</v>
      </c>
      <c r="D34" s="18" t="inlineStr">
        <is>
          <t>Resolve the documented gate preventing launch</t>
        </is>
      </c>
    </row>
    <row r="35">
      <c r="B35" s="34" t="inlineStr">
        <is>
          <t>TOTAL</t>
        </is>
      </c>
      <c r="C35" s="35">
        <f>SUM(C31:C34)</f>
        <v/>
      </c>
      <c r="D35" s="36" t="n"/>
    </row>
  </sheetData>
  <mergeCells count="5">
    <mergeCell ref="B21:L21"/>
    <mergeCell ref="B29:L29"/>
    <mergeCell ref="B3:L3"/>
    <mergeCell ref="B2:L2"/>
    <mergeCell ref="B5:L5"/>
  </mergeCells>
  <conditionalFormatting sqref="K7:K16">
    <cfRule type="expression" priority="1" dxfId="0">
      <formula>$K7="Complete"</formula>
    </cfRule>
    <cfRule type="expression" priority="2" dxfId="0">
      <formula>$K7="Approved"</formula>
    </cfRule>
    <cfRule type="expression" priority="3" dxfId="1">
      <formula>$K7="Blocked"</formula>
    </cfRule>
    <cfRule type="expression" priority="4" dxfId="1">
      <formula>$K7="Rejected"</formula>
    </cfRule>
    <cfRule type="expression" priority="5" dxfId="2">
      <formula>$K7="In progress"</formula>
    </cfRule>
    <cfRule type="expression" priority="6" dxfId="2">
      <formula>$K7="Review"</formula>
    </cfRule>
  </conditionalFormatting>
  <dataValidations count="1">
    <dataValidation sqref="K7:K16" showDropDown="0" showInputMessage="0" showErrorMessage="0" allowBlank="1" errorTitle="Invalid status" error="Choose a value from the list." type="list">
      <formula1>"Not started,Quoted,Approved,Committed,Paid,Blocked"</formula1>
    </dataValidation>
  </dataValidations>
  <pageMargins left="0.75" right="0.75" top="1" bottom="1" header="0.5" footer="0.5"/>
  <pageSetup fitToHeight="0" fitToWidth="1"/>
  <headerFooter>
    <oddHeader/>
    <oddFooter>&amp;CGeorge 90-Day Marketing Plan | Confidential working document&amp;RPage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8"/>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5" customWidth="1" min="3" max="3"/>
    <col width="20" customWidth="1" min="4" max="4"/>
    <col width="24" customWidth="1" min="5" max="5"/>
    <col width="68" customWidth="1" min="6" max="6"/>
    <col width="30" customWidth="1" min="7" max="7"/>
    <col width="42" customWidth="1" min="8" max="8"/>
    <col width="18" customWidth="1" min="9" max="9"/>
    <col width="16" customWidth="1" min="10" max="10"/>
  </cols>
  <sheetData>
    <row r="1" ht="10" customHeight="1"/>
    <row r="2" ht="30" customHeight="1">
      <c r="B2" s="1" t="inlineStr">
        <is>
          <t>13-Week Action Programme</t>
        </is>
      </c>
    </row>
    <row r="3" ht="28" customHeight="1">
      <c r="B3" s="2" t="inlineStr">
        <is>
          <t>Update owner and status every Friday. Dates flow from Overview!C18.</t>
        </is>
      </c>
    </row>
    <row r="4"/>
    <row r="5" ht="32" customHeight="1">
      <c r="B5" s="15" t="inlineStr">
        <is>
          <t>Week</t>
        </is>
      </c>
      <c r="C5" s="15" t="inlineStr">
        <is>
          <t>Start date</t>
        </is>
      </c>
      <c r="D5" s="15" t="inlineStr">
        <is>
          <t>Phase</t>
        </is>
      </c>
      <c r="E5" s="15" t="inlineStr">
        <is>
          <t>Objective</t>
        </is>
      </c>
      <c r="F5" s="15" t="inlineStr">
        <is>
          <t>Key actions</t>
        </is>
      </c>
      <c r="G5" s="15" t="inlineStr">
        <is>
          <t>Primary evidence/KPI</t>
        </is>
      </c>
      <c r="H5" s="15" t="inlineStr">
        <is>
          <t>Compliance or decision gate</t>
        </is>
      </c>
      <c r="I5" s="15" t="inlineStr">
        <is>
          <t>Owner</t>
        </is>
      </c>
      <c r="J5" s="15" t="inlineStr">
        <is>
          <t>Status</t>
        </is>
      </c>
    </row>
    <row r="6" ht="76" customHeight="1">
      <c r="B6" s="16" t="n">
        <v>1</v>
      </c>
      <c r="C6" s="37">
        <f>Overview!$C$18+(1-1)*7</f>
        <v/>
      </c>
      <c r="D6" s="18" t="inlineStr">
        <is>
          <t>Foundation</t>
        </is>
      </c>
      <c r="E6" s="18" t="inlineStr">
        <is>
          <t>Lock the business model</t>
        </is>
      </c>
      <c r="F6" s="18" t="inlineStr">
        <is>
          <t>Select one operating model and audience; list every product/service; verify status, stock, capacity, margin, geography, and CTA; open claim register and risk log; assign owners.</t>
        </is>
      </c>
      <c r="G6" s="18" t="inlineStr">
        <is>
          <t>Signed brief; offer table; economics entered</t>
        </is>
      </c>
      <c r="H6" s="18" t="inlineStr">
        <is>
          <t>No public claim until model, evidence, audience, and approval are recorded.</t>
        </is>
      </c>
      <c r="I6" s="27" t="inlineStr">
        <is>
          <t>George / assign</t>
        </is>
      </c>
      <c r="J6" s="27" t="inlineStr">
        <is>
          <t>Planned</t>
        </is>
      </c>
    </row>
    <row r="7" ht="76" customHeight="1">
      <c r="B7" s="31" t="n">
        <v>2</v>
      </c>
      <c r="C7" s="38">
        <f>Overview!$C$18+(2-1)*7</f>
        <v/>
      </c>
      <c r="D7" s="24" t="inlineStr">
        <is>
          <t>Foundation</t>
        </is>
      </c>
      <c r="E7" s="24" t="inlineStr">
        <is>
          <t>Build the conversion path</t>
        </is>
      </c>
      <c r="F7" s="24" t="inlineStr">
        <is>
          <t>Audit or create landing page; add clear CTA, privacy notice, consent text, thank-you state, WhatsApp routing, lead fields, and response script; test mobile and desktop.</t>
        </is>
      </c>
      <c r="G7" s="24" t="inlineStr">
        <is>
          <t>Successful test enquiry and notification</t>
        </is>
      </c>
      <c r="H7" s="24" t="inlineStr">
        <is>
          <t>Destination and response script must match the selected operating model.</t>
        </is>
      </c>
      <c r="I7" s="27" t="inlineStr">
        <is>
          <t>George / assign</t>
        </is>
      </c>
      <c r="J7" s="27" t="inlineStr">
        <is>
          <t>Planned</t>
        </is>
      </c>
    </row>
    <row r="8" ht="76" customHeight="1">
      <c r="B8" s="16" t="n">
        <v>3</v>
      </c>
      <c r="C8" s="37">
        <f>Overview!$C$18+(3-1)*7</f>
        <v/>
      </c>
      <c r="D8" s="18" t="inlineStr">
        <is>
          <t>Foundation</t>
        </is>
      </c>
      <c r="E8" s="18" t="inlineStr">
        <is>
          <t>Establish trust and measurement</t>
        </is>
      </c>
      <c r="F8" s="18" t="inlineStr">
        <is>
          <t>Publish team/responsibility, how-it-works, documentation/safety, FAQ, and evidence pages; install GA4 and Search Console; define UTMs and conversion events.</t>
        </is>
      </c>
      <c r="G8" s="18" t="inlineStr">
        <is>
          <t>Pages live; events tested; source captured</t>
        </is>
      </c>
      <c r="H8" s="18" t="inlineStr">
        <is>
          <t>Do not collect unnecessary health or sensitive data in marketing forms.</t>
        </is>
      </c>
      <c r="I8" s="27" t="inlineStr">
        <is>
          <t>George / assign</t>
        </is>
      </c>
      <c r="J8" s="27" t="inlineStr">
        <is>
          <t>Planned</t>
        </is>
      </c>
    </row>
    <row r="9" ht="76" customHeight="1">
      <c r="B9" s="31" t="n">
        <v>4</v>
      </c>
      <c r="C9" s="38">
        <f>Overview!$C$18+(4-1)*7</f>
        <v/>
      </c>
      <c r="D9" s="24" t="inlineStr">
        <is>
          <t>Foundation</t>
        </is>
      </c>
      <c r="E9" s="24" t="inlineStr">
        <is>
          <t>Soft launch organically</t>
        </is>
      </c>
      <c r="F9" s="24" t="inlineStr">
        <is>
          <t>Publish first hub article and three social assets; invite a small known audience and relevant partners; log questions, objections, complaints, and opt-ins.</t>
        </is>
      </c>
      <c r="G9" s="24" t="inlineStr">
        <is>
          <t>10–20 interactions or outreach responses</t>
        </is>
      </c>
      <c r="H9" s="24" t="inlineStr">
        <is>
          <t>All public assets approved; no unresolved high-risk claim.</t>
        </is>
      </c>
      <c r="I9" s="27" t="inlineStr">
        <is>
          <t>George / assign</t>
        </is>
      </c>
      <c r="J9" s="27" t="inlineStr">
        <is>
          <t>Planned</t>
        </is>
      </c>
    </row>
    <row r="10" ht="76" customHeight="1">
      <c r="B10" s="16" t="n">
        <v>5</v>
      </c>
      <c r="C10" s="37">
        <f>Overview!$C$18+(5-1)*7</f>
        <v/>
      </c>
      <c r="D10" s="18" t="inlineStr">
        <is>
          <t>Validation</t>
        </is>
      </c>
      <c r="E10" s="18" t="inlineStr">
        <is>
          <t>Select first demand cluster</t>
        </is>
      </c>
      <c r="F10" s="18" t="inlineStr">
        <is>
          <t>Review site queries, Search Console, comments, enquiries, and search-result patterns; select one compliant intent cluster; create matching page and exclusions.</t>
        </is>
      </c>
      <c r="G10" s="18" t="inlineStr">
        <is>
          <t>One cluster, page, CTA, and exclusions</t>
        </is>
      </c>
      <c r="H10" s="18" t="inlineStr">
        <is>
          <t>Complete Google/platform eligibility assessment before media release.</t>
        </is>
      </c>
      <c r="I10" s="27" t="inlineStr">
        <is>
          <t>George / assign</t>
        </is>
      </c>
      <c r="J10" s="27" t="inlineStr">
        <is>
          <t>Planned</t>
        </is>
      </c>
    </row>
    <row r="11" ht="76" customHeight="1">
      <c r="B11" s="31" t="n">
        <v>6</v>
      </c>
      <c r="C11" s="38">
        <f>Overview!$C$18+(6-1)*7</f>
        <v/>
      </c>
      <c r="D11" s="24" t="inlineStr">
        <is>
          <t>Validation</t>
        </is>
      </c>
      <c r="E11" s="24" t="inlineStr">
        <is>
          <t>Launch controlled acquisition</t>
        </is>
      </c>
      <c r="F11" s="24" t="inlineStr">
        <is>
          <t>If eligible, launch one Google Search campaign at R100–R150/day; otherwise execute SEO outreach and partner referrals; publish three social assets and one article.</t>
        </is>
      </c>
      <c r="G11" s="24" t="inlineStr">
        <is>
          <t>Attributed traffic; response time measured</t>
        </is>
      </c>
      <c r="H11" s="24" t="inlineStr">
        <is>
          <t>No restricted product terms as a workaround; pause if account or landing page is ineligible.</t>
        </is>
      </c>
      <c r="I11" s="27" t="inlineStr">
        <is>
          <t>George / assign</t>
        </is>
      </c>
      <c r="J11" s="27" t="inlineStr">
        <is>
          <t>Planned</t>
        </is>
      </c>
    </row>
    <row r="12" ht="76" customHeight="1">
      <c r="B12" s="16" t="n">
        <v>7</v>
      </c>
      <c r="C12" s="37">
        <f>Overview!$C$18+(7-1)*7</f>
        <v/>
      </c>
      <c r="D12" s="18" t="inlineStr">
        <is>
          <t>Validation</t>
        </is>
      </c>
      <c r="E12" s="18" t="inlineStr">
        <is>
          <t>Improve lead quality</t>
        </is>
      </c>
      <c r="F12" s="18" t="inlineStr">
        <is>
          <t>Review every search term and enquiry; add negatives; pause irrelevant terms; revise qualification questions and response script; interview at least three prospects or partners.</t>
        </is>
      </c>
      <c r="G12" s="18" t="inlineStr">
        <is>
          <t>Reasons for qualified/unqualified outcomes</t>
        </is>
      </c>
      <c r="H12" s="18" t="inlineStr">
        <is>
          <t>No individualized medical advice or unapproved claims in replies.</t>
        </is>
      </c>
      <c r="I12" s="27" t="inlineStr">
        <is>
          <t>George / assign</t>
        </is>
      </c>
      <c r="J12" s="27" t="inlineStr">
        <is>
          <t>Planned</t>
        </is>
      </c>
    </row>
    <row r="13" ht="76" customHeight="1">
      <c r="B13" s="31" t="n">
        <v>8</v>
      </c>
      <c r="C13" s="38">
        <f>Overview!$C$18+(8-1)*7</f>
        <v/>
      </c>
      <c r="D13" s="24" t="inlineStr">
        <is>
          <t>Validation</t>
        </is>
      </c>
      <c r="E13" s="24" t="inlineStr">
        <is>
          <t>Improve conversion</t>
        </is>
      </c>
      <c r="F13" s="24" t="inlineStr">
        <is>
          <t>Test one headline or CTA; strengthen trust proof and FAQ; publish objection-handling content; send first permission-based follow-up.</t>
        </is>
      </c>
      <c r="G13" s="24" t="inlineStr">
        <is>
          <t>Test result; qualified rate and abandonment</t>
        </is>
      </c>
      <c r="H13" s="24" t="inlineStr">
        <is>
          <t>Only one controlled page variable changes; consent and opt-out remain intact.</t>
        </is>
      </c>
      <c r="I13" s="27" t="inlineStr">
        <is>
          <t>George / assign</t>
        </is>
      </c>
      <c r="J13" s="27" t="inlineStr">
        <is>
          <t>Planned</t>
        </is>
      </c>
    </row>
    <row r="14" ht="76" customHeight="1">
      <c r="B14" s="16" t="n">
        <v>9</v>
      </c>
      <c r="C14" s="37">
        <f>Overview!$C$18+(9-1)*7</f>
        <v/>
      </c>
      <c r="D14" s="18" t="inlineStr">
        <is>
          <t>Optimization</t>
        </is>
      </c>
      <c r="E14" s="18" t="inlineStr">
        <is>
          <t>Expand the winning cluster</t>
        </is>
      </c>
      <c r="F14" s="18" t="inlineStr">
        <is>
          <t>Build one supporting article and one decision guide around best qualified-intent theme; strengthen internal links; create three derivative social posts.</t>
        </is>
      </c>
      <c r="G14" s="18" t="inlineStr">
        <is>
          <t>Growth in relevant engagement or enquiries</t>
        </is>
      </c>
      <c r="H14" s="18" t="inlineStr">
        <is>
          <t>Expansion stays within approved model and evidence scope.</t>
        </is>
      </c>
      <c r="I14" s="27" t="inlineStr">
        <is>
          <t>George / assign</t>
        </is>
      </c>
      <c r="J14" s="27" t="inlineStr">
        <is>
          <t>Planned</t>
        </is>
      </c>
    </row>
    <row r="15" ht="76" customHeight="1">
      <c r="B15" s="31" t="n">
        <v>10</v>
      </c>
      <c r="C15" s="38">
        <f>Overview!$C$18+(10-1)*7</f>
        <v/>
      </c>
      <c r="D15" s="24" t="inlineStr">
        <is>
          <t>Optimization</t>
        </is>
      </c>
      <c r="E15" s="24" t="inlineStr">
        <is>
          <t>Strengthen trust and conversion</t>
        </is>
      </c>
      <c r="F15" s="24" t="inlineStr">
        <is>
          <t>Add approved process proof or representative testimonials if lawful; simplify the form; improve response speed; audit mobile experience.</t>
        </is>
      </c>
      <c r="G15" s="24" t="inlineStr">
        <is>
          <t>Improved completion or lower abandonment</t>
        </is>
      </c>
      <c r="H15" s="24" t="inlineStr">
        <is>
          <t>No misleading testimonials, outcomes, before/after claims, or hidden material connections.</t>
        </is>
      </c>
      <c r="I15" s="27" t="inlineStr">
        <is>
          <t>George / assign</t>
        </is>
      </c>
      <c r="J15" s="27" t="inlineStr">
        <is>
          <t>Planned</t>
        </is>
      </c>
    </row>
    <row r="16" ht="76" customHeight="1">
      <c r="B16" s="16" t="n">
        <v>11</v>
      </c>
      <c r="C16" s="37">
        <f>Overview!$C$18+(11-1)*7</f>
        <v/>
      </c>
      <c r="D16" s="18" t="inlineStr">
        <is>
          <t>Optimization</t>
        </is>
      </c>
      <c r="E16" s="18" t="inlineStr">
        <is>
          <t>Build referral leverage</t>
        </is>
      </c>
      <c r="F16" s="18" t="inlineStr">
        <is>
          <t>Contact 15–25 relevant partners appropriate to the model; supply transparent one-page information pack; record introductions, status, terms, and compliance notes.</t>
        </is>
      </c>
      <c r="G16" s="18" t="inlineStr">
        <is>
          <t>Partner pipeline and next steps</t>
        </is>
      </c>
      <c r="H16" s="18" t="inlineStr">
        <is>
          <t>Referral arrangement, claims, data sharing, and commercial disclosure reviewed.</t>
        </is>
      </c>
      <c r="I16" s="27" t="inlineStr">
        <is>
          <t>George / assign</t>
        </is>
      </c>
      <c r="J16" s="27" t="inlineStr">
        <is>
          <t>Planned</t>
        </is>
      </c>
    </row>
    <row r="17" ht="76" customHeight="1">
      <c r="B17" s="31" t="n">
        <v>12</v>
      </c>
      <c r="C17" s="38">
        <f>Overview!$C$18+(12-1)*7</f>
        <v/>
      </c>
      <c r="D17" s="24" t="inlineStr">
        <is>
          <t>Optimization</t>
        </is>
      </c>
      <c r="E17" s="24" t="inlineStr">
        <is>
          <t>Run final controlled test</t>
        </is>
      </c>
      <c r="F17" s="24" t="inlineStr">
        <is>
          <t>Shift allowable media and content toward the best source/page; pause weak terms and formats; validate capacity before increasing demand.</t>
        </is>
      </c>
      <c r="G17" s="24" t="inlineStr">
        <is>
          <t>Spend concentrated on evidence-backed activity</t>
        </is>
      </c>
      <c r="H17" s="24" t="inlineStr">
        <is>
          <t>Capacity, unit economics, policy status, and complaint rate support any increase.</t>
        </is>
      </c>
      <c r="I17" s="27" t="inlineStr">
        <is>
          <t>George / assign</t>
        </is>
      </c>
      <c r="J17" s="27" t="inlineStr">
        <is>
          <t>Planned</t>
        </is>
      </c>
    </row>
    <row r="18" ht="76" customHeight="1">
      <c r="B18" s="16" t="n">
        <v>13</v>
      </c>
      <c r="C18" s="37">
        <f>Overview!$C$18+(13-1)*7</f>
        <v/>
      </c>
      <c r="D18" s="18" t="inlineStr">
        <is>
          <t>Decision</t>
        </is>
      </c>
      <c r="E18" s="18" t="inlineStr">
        <is>
          <t>Reconcile and decide</t>
        </is>
      </c>
      <c r="F18" s="18" t="inlineStr">
        <is>
          <t>Reconcile spend, traffic, enquiries, qualified outcomes, conversions, revenue, contribution, stock/capacity, complaints, opt-outs, and policy events; write next plan.</t>
        </is>
      </c>
      <c r="G18" s="18" t="inlineStr">
        <is>
          <t>Scale, revise, or stop decision approved</t>
        </is>
      </c>
      <c r="H18" s="18" t="inlineStr">
        <is>
          <t>No scale decision without four weeks of reliable data and affordable qualified enquiries.</t>
        </is>
      </c>
      <c r="I18" s="27" t="inlineStr">
        <is>
          <t>George / assign</t>
        </is>
      </c>
      <c r="J18" s="27" t="inlineStr">
        <is>
          <t>Planned</t>
        </is>
      </c>
    </row>
  </sheetData>
  <autoFilter ref="B5:J18"/>
  <mergeCells count="2">
    <mergeCell ref="B3:J3"/>
    <mergeCell ref="B2:J2"/>
  </mergeCells>
  <conditionalFormatting sqref="J6:J18">
    <cfRule type="expression" priority="1" dxfId="0">
      <formula>$J6="Complete"</formula>
    </cfRule>
    <cfRule type="expression" priority="2" dxfId="0">
      <formula>$J6="Approved"</formula>
    </cfRule>
    <cfRule type="expression" priority="3" dxfId="1">
      <formula>$J6="Blocked"</formula>
    </cfRule>
    <cfRule type="expression" priority="4" dxfId="1">
      <formula>$J6="Rejected"</formula>
    </cfRule>
    <cfRule type="expression" priority="5" dxfId="2">
      <formula>$J6="In progress"</formula>
    </cfRule>
    <cfRule type="expression" priority="6" dxfId="2">
      <formula>$J6="Review"</formula>
    </cfRule>
  </conditionalFormatting>
  <dataValidations count="1">
    <dataValidation sqref="J6:J18" showDropDown="0" showInputMessage="0" showErrorMessage="0" allowBlank="1" errorTitle="Invalid status" error="Choose a value from the list." type="list">
      <formula1>"Planned,In progress,Complete,Blocked,Skipped"</formula1>
    </dataValidation>
  </dataValidations>
  <pageMargins left="0.75" right="0.75" top="1" bottom="1" header="0.5" footer="0.5"/>
  <pageSetup fitToHeight="0" fitToWidth="1"/>
  <headerFooter>
    <oddHeader/>
    <oddFooter>&amp;CGeorge 90-Day Marketing Plan | Confidential working document&amp;RPage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44"/>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5" customWidth="1" min="3" max="3"/>
    <col width="14" customWidth="1" min="4" max="4"/>
    <col width="18" customWidth="1" min="5" max="5"/>
    <col width="20" customWidth="1" min="6" max="6"/>
    <col width="48" customWidth="1" min="7" max="7"/>
    <col width="26" customWidth="1" min="8" max="8"/>
    <col width="26" customWidth="1" min="9" max="9"/>
    <col width="20" customWidth="1" min="10" max="10"/>
    <col width="18" customWidth="1" min="11" max="11"/>
    <col width="16" customWidth="1" min="12" max="12"/>
  </cols>
  <sheetData>
    <row r="1" ht="10" customHeight="1"/>
    <row r="2" ht="30" customHeight="1">
      <c r="B2" s="1" t="inlineStr">
        <is>
          <t>90-Day Content Calendar</t>
        </is>
      </c>
    </row>
    <row r="3" ht="28" customHeight="1">
      <c r="B3" s="2" t="inlineStr">
        <is>
          <t>Three useful items per week. All topics and CTAs require claim-register approval before publication.</t>
        </is>
      </c>
    </row>
    <row r="4"/>
    <row r="5" ht="32" customHeight="1">
      <c r="B5" s="15" t="inlineStr">
        <is>
          <t>Week</t>
        </is>
      </c>
      <c r="C5" s="15" t="inlineStr">
        <is>
          <t>Publish date</t>
        </is>
      </c>
      <c r="D5" s="15" t="inlineStr">
        <is>
          <t>Day</t>
        </is>
      </c>
      <c r="E5" s="15" t="inlineStr">
        <is>
          <t>Channel</t>
        </is>
      </c>
      <c r="F5" s="15" t="inlineStr">
        <is>
          <t>Format</t>
        </is>
      </c>
      <c r="G5" s="15" t="inlineStr">
        <is>
          <t>Topic / working title</t>
        </is>
      </c>
      <c r="H5" s="15" t="inlineStr">
        <is>
          <t>Pillar</t>
        </is>
      </c>
      <c r="I5" s="15" t="inlineStr">
        <is>
          <t>CTA</t>
        </is>
      </c>
      <c r="J5" s="15" t="inlineStr">
        <is>
          <t>Approval gate</t>
        </is>
      </c>
      <c r="K5" s="15" t="inlineStr">
        <is>
          <t>Owner</t>
        </is>
      </c>
      <c r="L5" s="15" t="inlineStr">
        <is>
          <t>Status</t>
        </is>
      </c>
    </row>
    <row r="6" ht="48" customHeight="1">
      <c r="B6" s="16" t="n">
        <v>1</v>
      </c>
      <c r="C6" s="37">
        <f>Overview!$C$18+(1-1)*7+1</f>
        <v/>
      </c>
      <c r="D6" s="16" t="inlineStr">
        <is>
          <t>Tue</t>
        </is>
      </c>
      <c r="E6" s="18" t="inlineStr">
        <is>
          <t>Instagram + TikTok</t>
        </is>
      </c>
      <c r="F6" s="18" t="inlineStr">
        <is>
          <t>Video</t>
        </is>
      </c>
      <c r="G6" s="18" t="inlineStr">
        <is>
          <t>What business model is George building—and why model clarity matters</t>
        </is>
      </c>
      <c r="H6" s="18" t="inlineStr">
        <is>
          <t>Model clarity</t>
        </is>
      </c>
      <c r="I6" s="18" t="inlineStr">
        <is>
          <t>Relevant guide or permission-based enquiry</t>
        </is>
      </c>
      <c r="J6" s="18" t="inlineStr">
        <is>
          <t>Claim register approved</t>
        </is>
      </c>
      <c r="K6" s="27" t="inlineStr">
        <is>
          <t>Assign</t>
        </is>
      </c>
      <c r="L6" s="27" t="inlineStr">
        <is>
          <t>Planned</t>
        </is>
      </c>
    </row>
    <row r="7" ht="48" customHeight="1">
      <c r="B7" s="31" t="n">
        <v>1</v>
      </c>
      <c r="C7" s="38">
        <f>Overview!$C$18+(1-1)*7+3</f>
        <v/>
      </c>
      <c r="D7" s="31" t="inlineStr">
        <is>
          <t>Thu</t>
        </is>
      </c>
      <c r="E7" s="24" t="inlineStr">
        <is>
          <t>Instagram + LinkedIn</t>
        </is>
      </c>
      <c r="F7" s="24" t="inlineStr">
        <is>
          <t>Carousel</t>
        </is>
      </c>
      <c r="G7" s="24" t="inlineStr">
        <is>
          <t>Five facts to confirm before publishing any peptide-related claim</t>
        </is>
      </c>
      <c r="H7" s="24" t="inlineStr">
        <is>
          <t>Evidence literacy</t>
        </is>
      </c>
      <c r="I7" s="24" t="inlineStr">
        <is>
          <t>Relevant guide or permission-based enquiry</t>
        </is>
      </c>
      <c r="J7" s="24" t="inlineStr">
        <is>
          <t>Claim register approved</t>
        </is>
      </c>
      <c r="K7" s="27" t="inlineStr">
        <is>
          <t>Assign</t>
        </is>
      </c>
      <c r="L7" s="27" t="inlineStr">
        <is>
          <t>Planned</t>
        </is>
      </c>
    </row>
    <row r="8" ht="48" customHeight="1">
      <c r="B8" s="16" t="n">
        <v>1</v>
      </c>
      <c r="C8" s="37">
        <f>Overview!$C$18+(1-1)*7+5</f>
        <v/>
      </c>
      <c r="D8" s="16" t="inlineStr">
        <is>
          <t>Sat</t>
        </is>
      </c>
      <c r="E8" s="18" t="inlineStr">
        <is>
          <t>Website + Instagram</t>
        </is>
      </c>
      <c r="F8" s="18" t="inlineStr">
        <is>
          <t>FAQ</t>
        </is>
      </c>
      <c r="G8" s="18" t="inlineStr">
        <is>
          <t>What George can answer online and what requires a qualified professional</t>
        </is>
      </c>
      <c r="H8" s="18" t="inlineStr">
        <is>
          <t>FAQ and boundaries</t>
        </is>
      </c>
      <c r="I8" s="18" t="inlineStr">
        <is>
          <t>Relevant guide or permission-based enquiry</t>
        </is>
      </c>
      <c r="J8" s="18" t="inlineStr">
        <is>
          <t>Claim register approved</t>
        </is>
      </c>
      <c r="K8" s="27" t="inlineStr">
        <is>
          <t>Assign</t>
        </is>
      </c>
      <c r="L8" s="27" t="inlineStr">
        <is>
          <t>Planned</t>
        </is>
      </c>
    </row>
    <row r="9" ht="48" customHeight="1">
      <c r="B9" s="31" t="n">
        <v>2</v>
      </c>
      <c r="C9" s="38">
        <f>Overview!$C$18+(2-1)*7+1</f>
        <v/>
      </c>
      <c r="D9" s="31" t="inlineStr">
        <is>
          <t>Tue</t>
        </is>
      </c>
      <c r="E9" s="24" t="inlineStr">
        <is>
          <t>Instagram + TikTok</t>
        </is>
      </c>
      <c r="F9" s="24" t="inlineStr">
        <is>
          <t>Video</t>
        </is>
      </c>
      <c r="G9" s="24" t="inlineStr">
        <is>
          <t>What happens after a visitor submits an enquiry</t>
        </is>
      </c>
      <c r="H9" s="24" t="inlineStr">
        <is>
          <t>Process</t>
        </is>
      </c>
      <c r="I9" s="24" t="inlineStr">
        <is>
          <t>Relevant guide or permission-based enquiry</t>
        </is>
      </c>
      <c r="J9" s="24" t="inlineStr">
        <is>
          <t>Claim register approved</t>
        </is>
      </c>
      <c r="K9" s="27" t="inlineStr">
        <is>
          <t>Assign</t>
        </is>
      </c>
      <c r="L9" s="27" t="inlineStr">
        <is>
          <t>Planned</t>
        </is>
      </c>
    </row>
    <row r="10" ht="48" customHeight="1">
      <c r="B10" s="16" t="n">
        <v>2</v>
      </c>
      <c r="C10" s="37">
        <f>Overview!$C$18+(2-1)*7+3</f>
        <v/>
      </c>
      <c r="D10" s="16" t="inlineStr">
        <is>
          <t>Thu</t>
        </is>
      </c>
      <c r="E10" s="18" t="inlineStr">
        <is>
          <t>Instagram + LinkedIn</t>
        </is>
      </c>
      <c r="F10" s="18" t="inlineStr">
        <is>
          <t>Carousel</t>
        </is>
      </c>
      <c r="G10" s="18" t="inlineStr">
        <is>
          <t>A privacy-conscious enquiry form: what it should and should not ask</t>
        </is>
      </c>
      <c r="H10" s="18" t="inlineStr">
        <is>
          <t>Process</t>
        </is>
      </c>
      <c r="I10" s="18" t="inlineStr">
        <is>
          <t>Relevant guide or permission-based enquiry</t>
        </is>
      </c>
      <c r="J10" s="18" t="inlineStr">
        <is>
          <t>Claim register approved</t>
        </is>
      </c>
      <c r="K10" s="27" t="inlineStr">
        <is>
          <t>Assign</t>
        </is>
      </c>
      <c r="L10" s="27" t="inlineStr">
        <is>
          <t>Planned</t>
        </is>
      </c>
    </row>
    <row r="11" ht="48" customHeight="1">
      <c r="B11" s="31" t="n">
        <v>2</v>
      </c>
      <c r="C11" s="38">
        <f>Overview!$C$18+(2-1)*7+5</f>
        <v/>
      </c>
      <c r="D11" s="31" t="inlineStr">
        <is>
          <t>Sat</t>
        </is>
      </c>
      <c r="E11" s="24" t="inlineStr">
        <is>
          <t>Website + Instagram</t>
        </is>
      </c>
      <c r="F11" s="24" t="inlineStr">
        <is>
          <t>FAQ</t>
        </is>
      </c>
      <c r="G11" s="24" t="inlineStr">
        <is>
          <t>Consultation, research enquiry, quote, or waitlist: choosing the right next step</t>
        </is>
      </c>
      <c r="H11" s="24" t="inlineStr">
        <is>
          <t>Model clarity</t>
        </is>
      </c>
      <c r="I11" s="24" t="inlineStr">
        <is>
          <t>Relevant guide or permission-based enquiry</t>
        </is>
      </c>
      <c r="J11" s="24" t="inlineStr">
        <is>
          <t>Claim register approved</t>
        </is>
      </c>
      <c r="K11" s="27" t="inlineStr">
        <is>
          <t>Assign</t>
        </is>
      </c>
      <c r="L11" s="27" t="inlineStr">
        <is>
          <t>Planned</t>
        </is>
      </c>
    </row>
    <row r="12" ht="48" customHeight="1">
      <c r="B12" s="16" t="n">
        <v>3</v>
      </c>
      <c r="C12" s="37">
        <f>Overview!$C$18+(3-1)*7+1</f>
        <v/>
      </c>
      <c r="D12" s="16" t="inlineStr">
        <is>
          <t>Tue</t>
        </is>
      </c>
      <c r="E12" s="18" t="inlineStr">
        <is>
          <t>Instagram + TikTok</t>
        </is>
      </c>
      <c r="F12" s="18" t="inlineStr">
        <is>
          <t>Video</t>
        </is>
      </c>
      <c r="G12" s="18" t="inlineStr">
        <is>
          <t>How to tell evidence from marketing language</t>
        </is>
      </c>
      <c r="H12" s="18" t="inlineStr">
        <is>
          <t>Evidence literacy</t>
        </is>
      </c>
      <c r="I12" s="18" t="inlineStr">
        <is>
          <t>Relevant guide or permission-based enquiry</t>
        </is>
      </c>
      <c r="J12" s="18" t="inlineStr">
        <is>
          <t>Claim register approved</t>
        </is>
      </c>
      <c r="K12" s="27" t="inlineStr">
        <is>
          <t>Assign</t>
        </is>
      </c>
      <c r="L12" s="27" t="inlineStr">
        <is>
          <t>Planned</t>
        </is>
      </c>
    </row>
    <row r="13" ht="48" customHeight="1">
      <c r="B13" s="31" t="n">
        <v>3</v>
      </c>
      <c r="C13" s="38">
        <f>Overview!$C$18+(3-1)*7+3</f>
        <v/>
      </c>
      <c r="D13" s="31" t="inlineStr">
        <is>
          <t>Thu</t>
        </is>
      </c>
      <c r="E13" s="24" t="inlineStr">
        <is>
          <t>Instagram + LinkedIn</t>
        </is>
      </c>
      <c r="F13" s="24" t="inlineStr">
        <is>
          <t>Carousel</t>
        </is>
      </c>
      <c r="G13" s="24" t="inlineStr">
        <is>
          <t>A simple evidence-level ladder: approved information to unverified claim</t>
        </is>
      </c>
      <c r="H13" s="24" t="inlineStr">
        <is>
          <t>Evidence literacy</t>
        </is>
      </c>
      <c r="I13" s="24" t="inlineStr">
        <is>
          <t>Relevant guide or permission-based enquiry</t>
        </is>
      </c>
      <c r="J13" s="24" t="inlineStr">
        <is>
          <t>Claim register approved</t>
        </is>
      </c>
      <c r="K13" s="27" t="inlineStr">
        <is>
          <t>Assign</t>
        </is>
      </c>
      <c r="L13" s="27" t="inlineStr">
        <is>
          <t>Planned</t>
        </is>
      </c>
    </row>
    <row r="14" ht="48" customHeight="1">
      <c r="B14" s="16" t="n">
        <v>3</v>
      </c>
      <c r="C14" s="37">
        <f>Overview!$C$18+(3-1)*7+5</f>
        <v/>
      </c>
      <c r="D14" s="16" t="inlineStr">
        <is>
          <t>Sat</t>
        </is>
      </c>
      <c r="E14" s="18" t="inlineStr">
        <is>
          <t>Website + Instagram</t>
        </is>
      </c>
      <c r="F14" s="18" t="inlineStr">
        <is>
          <t>FAQ</t>
        </is>
      </c>
      <c r="G14" s="18" t="inlineStr">
        <is>
          <t>Why a source link does not automatically prove a commercial claim</t>
        </is>
      </c>
      <c r="H14" s="18" t="inlineStr">
        <is>
          <t>Evidence literacy</t>
        </is>
      </c>
      <c r="I14" s="18" t="inlineStr">
        <is>
          <t>Relevant guide or permission-based enquiry</t>
        </is>
      </c>
      <c r="J14" s="18" t="inlineStr">
        <is>
          <t>Claim register approved</t>
        </is>
      </c>
      <c r="K14" s="27" t="inlineStr">
        <is>
          <t>Assign</t>
        </is>
      </c>
      <c r="L14" s="27" t="inlineStr">
        <is>
          <t>Planned</t>
        </is>
      </c>
    </row>
    <row r="15" ht="48" customHeight="1">
      <c r="B15" s="31" t="n">
        <v>4</v>
      </c>
      <c r="C15" s="38">
        <f>Overview!$C$18+(4-1)*7+1</f>
        <v/>
      </c>
      <c r="D15" s="31" t="inlineStr">
        <is>
          <t>Tue</t>
        </is>
      </c>
      <c r="E15" s="24" t="inlineStr">
        <is>
          <t>Instagram + TikTok</t>
        </is>
      </c>
      <c r="F15" s="24" t="inlineStr">
        <is>
          <t>Video</t>
        </is>
      </c>
      <c r="G15" s="24" t="inlineStr">
        <is>
          <t>The provider-verification questions every South African customer should ask</t>
        </is>
      </c>
      <c r="H15" s="24" t="inlineStr">
        <is>
          <t>Provider verification</t>
        </is>
      </c>
      <c r="I15" s="24" t="inlineStr">
        <is>
          <t>Relevant guide or permission-based enquiry</t>
        </is>
      </c>
      <c r="J15" s="24" t="inlineStr">
        <is>
          <t>Claim register approved</t>
        </is>
      </c>
      <c r="K15" s="27" t="inlineStr">
        <is>
          <t>Assign</t>
        </is>
      </c>
      <c r="L15" s="27" t="inlineStr">
        <is>
          <t>Planned</t>
        </is>
      </c>
    </row>
    <row r="16" ht="48" customHeight="1">
      <c r="B16" s="16" t="n">
        <v>4</v>
      </c>
      <c r="C16" s="37">
        <f>Overview!$C$18+(4-1)*7+3</f>
        <v/>
      </c>
      <c r="D16" s="16" t="inlineStr">
        <is>
          <t>Thu</t>
        </is>
      </c>
      <c r="E16" s="18" t="inlineStr">
        <is>
          <t>Instagram + LinkedIn</t>
        </is>
      </c>
      <c r="F16" s="18" t="inlineStr">
        <is>
          <t>Carousel</t>
        </is>
      </c>
      <c r="G16" s="18" t="inlineStr">
        <is>
          <t>Provider checklist: responsibility, status, documentation, privacy, and follow-up</t>
        </is>
      </c>
      <c r="H16" s="18" t="inlineStr">
        <is>
          <t>Provider verification</t>
        </is>
      </c>
      <c r="I16" s="18" t="inlineStr">
        <is>
          <t>Relevant guide or permission-based enquiry</t>
        </is>
      </c>
      <c r="J16" s="18" t="inlineStr">
        <is>
          <t>Claim register approved</t>
        </is>
      </c>
      <c r="K16" s="27" t="inlineStr">
        <is>
          <t>Assign</t>
        </is>
      </c>
      <c r="L16" s="27" t="inlineStr">
        <is>
          <t>Planned</t>
        </is>
      </c>
    </row>
    <row r="17" ht="48" customHeight="1">
      <c r="B17" s="31" t="n">
        <v>4</v>
      </c>
      <c r="C17" s="38">
        <f>Overview!$C$18+(4-1)*7+5</f>
        <v/>
      </c>
      <c r="D17" s="31" t="inlineStr">
        <is>
          <t>Sat</t>
        </is>
      </c>
      <c r="E17" s="24" t="inlineStr">
        <is>
          <t>Website + Instagram</t>
        </is>
      </c>
      <c r="F17" s="24" t="inlineStr">
        <is>
          <t>FAQ</t>
        </is>
      </c>
      <c r="G17" s="24" t="inlineStr">
        <is>
          <t>What should a transparent how-it-works page explain?</t>
        </is>
      </c>
      <c r="H17" s="24" t="inlineStr">
        <is>
          <t>Process</t>
        </is>
      </c>
      <c r="I17" s="24" t="inlineStr">
        <is>
          <t>Relevant guide or permission-based enquiry</t>
        </is>
      </c>
      <c r="J17" s="24" t="inlineStr">
        <is>
          <t>Claim register approved</t>
        </is>
      </c>
      <c r="K17" s="27" t="inlineStr">
        <is>
          <t>Assign</t>
        </is>
      </c>
      <c r="L17" s="27" t="inlineStr">
        <is>
          <t>Planned</t>
        </is>
      </c>
    </row>
    <row r="18" ht="48" customHeight="1">
      <c r="B18" s="16" t="n">
        <v>5</v>
      </c>
      <c r="C18" s="37">
        <f>Overview!$C$18+(5-1)*7+1</f>
        <v/>
      </c>
      <c r="D18" s="16" t="inlineStr">
        <is>
          <t>Tue</t>
        </is>
      </c>
      <c r="E18" s="18" t="inlineStr">
        <is>
          <t>Instagram + TikTok</t>
        </is>
      </c>
      <c r="F18" s="18" t="inlineStr">
        <is>
          <t>Video</t>
        </is>
      </c>
      <c r="G18" s="18" t="inlineStr">
        <is>
          <t>How to choose one search topic without overpromising</t>
        </is>
      </c>
      <c r="H18" s="18" t="inlineStr">
        <is>
          <t>South African relevance</t>
        </is>
      </c>
      <c r="I18" s="18" t="inlineStr">
        <is>
          <t>Relevant guide or permission-based enquiry</t>
        </is>
      </c>
      <c r="J18" s="18" t="inlineStr">
        <is>
          <t>Claim register approved</t>
        </is>
      </c>
      <c r="K18" s="27" t="inlineStr">
        <is>
          <t>Assign</t>
        </is>
      </c>
      <c r="L18" s="27" t="inlineStr">
        <is>
          <t>Planned</t>
        </is>
      </c>
    </row>
    <row r="19" ht="48" customHeight="1">
      <c r="B19" s="31" t="n">
        <v>5</v>
      </c>
      <c r="C19" s="38">
        <f>Overview!$C$18+(5-1)*7+3</f>
        <v/>
      </c>
      <c r="D19" s="31" t="inlineStr">
        <is>
          <t>Thu</t>
        </is>
      </c>
      <c r="E19" s="24" t="inlineStr">
        <is>
          <t>Instagram + LinkedIn</t>
        </is>
      </c>
      <c r="F19" s="24" t="inlineStr">
        <is>
          <t>Carousel</t>
        </is>
      </c>
      <c r="G19" s="24" t="inlineStr">
        <is>
          <t>Search intent: education, consultation, research, or product purchase</t>
        </is>
      </c>
      <c r="H19" s="24" t="inlineStr">
        <is>
          <t>Model clarity</t>
        </is>
      </c>
      <c r="I19" s="24" t="inlineStr">
        <is>
          <t>Relevant guide or permission-based enquiry</t>
        </is>
      </c>
      <c r="J19" s="24" t="inlineStr">
        <is>
          <t>Claim register approved</t>
        </is>
      </c>
      <c r="K19" s="27" t="inlineStr">
        <is>
          <t>Assign</t>
        </is>
      </c>
      <c r="L19" s="27" t="inlineStr">
        <is>
          <t>Planned</t>
        </is>
      </c>
    </row>
    <row r="20" ht="48" customHeight="1">
      <c r="B20" s="16" t="n">
        <v>5</v>
      </c>
      <c r="C20" s="37">
        <f>Overview!$C$18+(5-1)*7+5</f>
        <v/>
      </c>
      <c r="D20" s="16" t="inlineStr">
        <is>
          <t>Sat</t>
        </is>
      </c>
      <c r="E20" s="18" t="inlineStr">
        <is>
          <t>Website + Instagram</t>
        </is>
      </c>
      <c r="F20" s="18" t="inlineStr">
        <is>
          <t>FAQ</t>
        </is>
      </c>
      <c r="G20" s="18" t="inlineStr">
        <is>
          <t>Why the destination page must match the ad or post</t>
        </is>
      </c>
      <c r="H20" s="18" t="inlineStr">
        <is>
          <t>Process</t>
        </is>
      </c>
      <c r="I20" s="18" t="inlineStr">
        <is>
          <t>Relevant guide or permission-based enquiry</t>
        </is>
      </c>
      <c r="J20" s="18" t="inlineStr">
        <is>
          <t>Claim register approved</t>
        </is>
      </c>
      <c r="K20" s="27" t="inlineStr">
        <is>
          <t>Assign</t>
        </is>
      </c>
      <c r="L20" s="27" t="inlineStr">
        <is>
          <t>Planned</t>
        </is>
      </c>
    </row>
    <row r="21" ht="48" customHeight="1">
      <c r="B21" s="31" t="n">
        <v>6</v>
      </c>
      <c r="C21" s="38">
        <f>Overview!$C$18+(6-1)*7+1</f>
        <v/>
      </c>
      <c r="D21" s="31" t="inlineStr">
        <is>
          <t>Tue</t>
        </is>
      </c>
      <c r="E21" s="24" t="inlineStr">
        <is>
          <t>Instagram + TikTok</t>
        </is>
      </c>
      <c r="F21" s="24" t="inlineStr">
        <is>
          <t>Video</t>
        </is>
      </c>
      <c r="G21" s="24" t="inlineStr">
        <is>
          <t>How to read a batch report or COA without overstating it</t>
        </is>
      </c>
      <c r="H21" s="24" t="inlineStr">
        <is>
          <t>Quality/documentation</t>
        </is>
      </c>
      <c r="I21" s="24" t="inlineStr">
        <is>
          <t>Relevant guide or permission-based enquiry</t>
        </is>
      </c>
      <c r="J21" s="24" t="inlineStr">
        <is>
          <t>Claim register approved</t>
        </is>
      </c>
      <c r="K21" s="27" t="inlineStr">
        <is>
          <t>Assign</t>
        </is>
      </c>
      <c r="L21" s="27" t="inlineStr">
        <is>
          <t>Planned</t>
        </is>
      </c>
    </row>
    <row r="22" ht="48" customHeight="1">
      <c r="B22" s="16" t="n">
        <v>6</v>
      </c>
      <c r="C22" s="37">
        <f>Overview!$C$18+(6-1)*7+3</f>
        <v/>
      </c>
      <c r="D22" s="16" t="inlineStr">
        <is>
          <t>Thu</t>
        </is>
      </c>
      <c r="E22" s="18" t="inlineStr">
        <is>
          <t>Instagram + LinkedIn</t>
        </is>
      </c>
      <c r="F22" s="18" t="inlineStr">
        <is>
          <t>Carousel</t>
        </is>
      </c>
      <c r="G22" s="18" t="inlineStr">
        <is>
          <t>COA reading checklist: identity, batch, date, method, and limits</t>
        </is>
      </c>
      <c r="H22" s="18" t="inlineStr">
        <is>
          <t>Quality/documentation</t>
        </is>
      </c>
      <c r="I22" s="18" t="inlineStr">
        <is>
          <t>Relevant guide or permission-based enquiry</t>
        </is>
      </c>
      <c r="J22" s="18" t="inlineStr">
        <is>
          <t>Claim register approved</t>
        </is>
      </c>
      <c r="K22" s="27" t="inlineStr">
        <is>
          <t>Assign</t>
        </is>
      </c>
      <c r="L22" s="27" t="inlineStr">
        <is>
          <t>Planned</t>
        </is>
      </c>
    </row>
    <row r="23" ht="48" customHeight="1">
      <c r="B23" s="31" t="n">
        <v>6</v>
      </c>
      <c r="C23" s="38">
        <f>Overview!$C$18+(6-1)*7+5</f>
        <v/>
      </c>
      <c r="D23" s="31" t="inlineStr">
        <is>
          <t>Sat</t>
        </is>
      </c>
      <c r="E23" s="24" t="inlineStr">
        <is>
          <t>Website + Instagram</t>
        </is>
      </c>
      <c r="F23" s="24" t="inlineStr">
        <is>
          <t>FAQ</t>
        </is>
      </c>
      <c r="G23" s="24" t="inlineStr">
        <is>
          <t>What a COA can and cannot establish</t>
        </is>
      </c>
      <c r="H23" s="24" t="inlineStr">
        <is>
          <t>Quality/documentation</t>
        </is>
      </c>
      <c r="I23" s="24" t="inlineStr">
        <is>
          <t>Relevant guide or permission-based enquiry</t>
        </is>
      </c>
      <c r="J23" s="24" t="inlineStr">
        <is>
          <t>Claim register approved</t>
        </is>
      </c>
      <c r="K23" s="27" t="inlineStr">
        <is>
          <t>Assign</t>
        </is>
      </c>
      <c r="L23" s="27" t="inlineStr">
        <is>
          <t>Planned</t>
        </is>
      </c>
    </row>
    <row r="24" ht="48" customHeight="1">
      <c r="B24" s="16" t="n">
        <v>7</v>
      </c>
      <c r="C24" s="37">
        <f>Overview!$C$18+(7-1)*7+1</f>
        <v/>
      </c>
      <c r="D24" s="16" t="inlineStr">
        <is>
          <t>Tue</t>
        </is>
      </c>
      <c r="E24" s="18" t="inlineStr">
        <is>
          <t>Instagram + TikTok</t>
        </is>
      </c>
      <c r="F24" s="18" t="inlineStr">
        <is>
          <t>Video</t>
        </is>
      </c>
      <c r="G24" s="18" t="inlineStr">
        <is>
          <t>The difference between a click and a qualified enquiry</t>
        </is>
      </c>
      <c r="H24" s="18" t="inlineStr">
        <is>
          <t>Process</t>
        </is>
      </c>
      <c r="I24" s="18" t="inlineStr">
        <is>
          <t>Relevant guide or permission-based enquiry</t>
        </is>
      </c>
      <c r="J24" s="18" t="inlineStr">
        <is>
          <t>Claim register approved</t>
        </is>
      </c>
      <c r="K24" s="27" t="inlineStr">
        <is>
          <t>Assign</t>
        </is>
      </c>
      <c r="L24" s="27" t="inlineStr">
        <is>
          <t>Planned</t>
        </is>
      </c>
    </row>
    <row r="25" ht="48" customHeight="1">
      <c r="B25" s="31" t="n">
        <v>7</v>
      </c>
      <c r="C25" s="38">
        <f>Overview!$C$18+(7-1)*7+3</f>
        <v/>
      </c>
      <c r="D25" s="31" t="inlineStr">
        <is>
          <t>Thu</t>
        </is>
      </c>
      <c r="E25" s="24" t="inlineStr">
        <is>
          <t>Instagram + LinkedIn</t>
        </is>
      </c>
      <c r="F25" s="24" t="inlineStr">
        <is>
          <t>Carousel</t>
        </is>
      </c>
      <c r="G25" s="24" t="inlineStr">
        <is>
          <t>The lead-quality review: source, intent, fit, outcome, and permission</t>
        </is>
      </c>
      <c r="H25" s="24" t="inlineStr">
        <is>
          <t>Process</t>
        </is>
      </c>
      <c r="I25" s="24" t="inlineStr">
        <is>
          <t>Relevant guide or permission-based enquiry</t>
        </is>
      </c>
      <c r="J25" s="24" t="inlineStr">
        <is>
          <t>Claim register approved</t>
        </is>
      </c>
      <c r="K25" s="27" t="inlineStr">
        <is>
          <t>Assign</t>
        </is>
      </c>
      <c r="L25" s="27" t="inlineStr">
        <is>
          <t>Planned</t>
        </is>
      </c>
    </row>
    <row r="26" ht="48" customHeight="1">
      <c r="B26" s="16" t="n">
        <v>7</v>
      </c>
      <c r="C26" s="37">
        <f>Overview!$C$18+(7-1)*7+5</f>
        <v/>
      </c>
      <c r="D26" s="16" t="inlineStr">
        <is>
          <t>Sat</t>
        </is>
      </c>
      <c r="E26" s="18" t="inlineStr">
        <is>
          <t>Website + Instagram</t>
        </is>
      </c>
      <c r="F26" s="18" t="inlineStr">
        <is>
          <t>FAQ</t>
        </is>
      </c>
      <c r="G26" s="18" t="inlineStr">
        <is>
          <t>Why follower count is not the launch KPI</t>
        </is>
      </c>
      <c r="H26" s="18" t="inlineStr">
        <is>
          <t>FAQ and boundaries</t>
        </is>
      </c>
      <c r="I26" s="18" t="inlineStr">
        <is>
          <t>Relevant guide or permission-based enquiry</t>
        </is>
      </c>
      <c r="J26" s="18" t="inlineStr">
        <is>
          <t>Claim register approved</t>
        </is>
      </c>
      <c r="K26" s="27" t="inlineStr">
        <is>
          <t>Assign</t>
        </is>
      </c>
      <c r="L26" s="27" t="inlineStr">
        <is>
          <t>Planned</t>
        </is>
      </c>
    </row>
    <row r="27" ht="48" customHeight="1">
      <c r="B27" s="31" t="n">
        <v>8</v>
      </c>
      <c r="C27" s="38">
        <f>Overview!$C$18+(8-1)*7+1</f>
        <v/>
      </c>
      <c r="D27" s="31" t="inlineStr">
        <is>
          <t>Tue</t>
        </is>
      </c>
      <c r="E27" s="24" t="inlineStr">
        <is>
          <t>Instagram + TikTok</t>
        </is>
      </c>
      <c r="F27" s="24" t="inlineStr">
        <is>
          <t>Video</t>
        </is>
      </c>
      <c r="G27" s="24" t="inlineStr">
        <is>
          <t>The most common questions from George’s first month</t>
        </is>
      </c>
      <c r="H27" s="24" t="inlineStr">
        <is>
          <t>FAQ and boundaries</t>
        </is>
      </c>
      <c r="I27" s="24" t="inlineStr">
        <is>
          <t>Relevant guide or permission-based enquiry</t>
        </is>
      </c>
      <c r="J27" s="24" t="inlineStr">
        <is>
          <t>Claim register approved</t>
        </is>
      </c>
      <c r="K27" s="27" t="inlineStr">
        <is>
          <t>Assign</t>
        </is>
      </c>
      <c r="L27" s="27" t="inlineStr">
        <is>
          <t>Planned</t>
        </is>
      </c>
    </row>
    <row r="28" ht="48" customHeight="1">
      <c r="B28" s="16" t="n">
        <v>8</v>
      </c>
      <c r="C28" s="37">
        <f>Overview!$C$18+(8-1)*7+3</f>
        <v/>
      </c>
      <c r="D28" s="16" t="inlineStr">
        <is>
          <t>Thu</t>
        </is>
      </c>
      <c r="E28" s="18" t="inlineStr">
        <is>
          <t>Instagram + LinkedIn</t>
        </is>
      </c>
      <c r="F28" s="18" t="inlineStr">
        <is>
          <t>Carousel</t>
        </is>
      </c>
      <c r="G28" s="18" t="inlineStr">
        <is>
          <t>Objection map: status, evidence, process, timing, and cost</t>
        </is>
      </c>
      <c r="H28" s="18" t="inlineStr">
        <is>
          <t>FAQ and boundaries</t>
        </is>
      </c>
      <c r="I28" s="18" t="inlineStr">
        <is>
          <t>Relevant guide or permission-based enquiry</t>
        </is>
      </c>
      <c r="J28" s="18" t="inlineStr">
        <is>
          <t>Claim register approved</t>
        </is>
      </c>
      <c r="K28" s="27" t="inlineStr">
        <is>
          <t>Assign</t>
        </is>
      </c>
      <c r="L28" s="27" t="inlineStr">
        <is>
          <t>Planned</t>
        </is>
      </c>
    </row>
    <row r="29" ht="48" customHeight="1">
      <c r="B29" s="31" t="n">
        <v>8</v>
      </c>
      <c r="C29" s="38">
        <f>Overview!$C$18+(8-1)*7+5</f>
        <v/>
      </c>
      <c r="D29" s="31" t="inlineStr">
        <is>
          <t>Sat</t>
        </is>
      </c>
      <c r="E29" s="24" t="inlineStr">
        <is>
          <t>Website + Instagram</t>
        </is>
      </c>
      <c r="F29" s="24" t="inlineStr">
        <is>
          <t>FAQ</t>
        </is>
      </c>
      <c r="G29" s="24" t="inlineStr">
        <is>
          <t>How quickly should an enquiry receive a human response?</t>
        </is>
      </c>
      <c r="H29" s="24" t="inlineStr">
        <is>
          <t>Process</t>
        </is>
      </c>
      <c r="I29" s="24" t="inlineStr">
        <is>
          <t>Relevant guide or permission-based enquiry</t>
        </is>
      </c>
      <c r="J29" s="24" t="inlineStr">
        <is>
          <t>Claim register approved</t>
        </is>
      </c>
      <c r="K29" s="27" t="inlineStr">
        <is>
          <t>Assign</t>
        </is>
      </c>
      <c r="L29" s="27" t="inlineStr">
        <is>
          <t>Planned</t>
        </is>
      </c>
    </row>
    <row r="30" ht="48" customHeight="1">
      <c r="B30" s="16" t="n">
        <v>9</v>
      </c>
      <c r="C30" s="37">
        <f>Overview!$C$18+(9-1)*7+1</f>
        <v/>
      </c>
      <c r="D30" s="16" t="inlineStr">
        <is>
          <t>Tue</t>
        </is>
      </c>
      <c r="E30" s="18" t="inlineStr">
        <is>
          <t>Instagram + TikTok</t>
        </is>
      </c>
      <c r="F30" s="18" t="inlineStr">
        <is>
          <t>Video</t>
        </is>
      </c>
      <c r="G30" s="18" t="inlineStr">
        <is>
          <t>Research-use-only versus clinician-supervised care</t>
        </is>
      </c>
      <c r="H30" s="18" t="inlineStr">
        <is>
          <t>Model clarity</t>
        </is>
      </c>
      <c r="I30" s="18" t="inlineStr">
        <is>
          <t>Relevant guide or permission-based enquiry</t>
        </is>
      </c>
      <c r="J30" s="18" t="inlineStr">
        <is>
          <t>Claim register approved</t>
        </is>
      </c>
      <c r="K30" s="27" t="inlineStr">
        <is>
          <t>Assign</t>
        </is>
      </c>
      <c r="L30" s="27" t="inlineStr">
        <is>
          <t>Planned</t>
        </is>
      </c>
    </row>
    <row r="31" ht="48" customHeight="1">
      <c r="B31" s="31" t="n">
        <v>9</v>
      </c>
      <c r="C31" s="38">
        <f>Overview!$C$18+(9-1)*7+3</f>
        <v/>
      </c>
      <c r="D31" s="31" t="inlineStr">
        <is>
          <t>Thu</t>
        </is>
      </c>
      <c r="E31" s="24" t="inlineStr">
        <is>
          <t>Instagram + LinkedIn</t>
        </is>
      </c>
      <c r="F31" s="24" t="inlineStr">
        <is>
          <t>Carousel</t>
        </is>
      </c>
      <c r="G31" s="24" t="inlineStr">
        <is>
          <t>Do not mix funnels: a visual guide to distinct operating models</t>
        </is>
      </c>
      <c r="H31" s="24" t="inlineStr">
        <is>
          <t>Model clarity</t>
        </is>
      </c>
      <c r="I31" s="24" t="inlineStr">
        <is>
          <t>Relevant guide or permission-based enquiry</t>
        </is>
      </c>
      <c r="J31" s="24" t="inlineStr">
        <is>
          <t>Claim register approved</t>
        </is>
      </c>
      <c r="K31" s="27" t="inlineStr">
        <is>
          <t>Assign</t>
        </is>
      </c>
      <c r="L31" s="27" t="inlineStr">
        <is>
          <t>Planned</t>
        </is>
      </c>
    </row>
    <row r="32" ht="48" customHeight="1">
      <c r="B32" s="16" t="n">
        <v>9</v>
      </c>
      <c r="C32" s="37">
        <f>Overview!$C$18+(9-1)*7+5</f>
        <v/>
      </c>
      <c r="D32" s="16" t="inlineStr">
        <is>
          <t>Sat</t>
        </is>
      </c>
      <c r="E32" s="18" t="inlineStr">
        <is>
          <t>Website + Instagram</t>
        </is>
      </c>
      <c r="F32" s="18" t="inlineStr">
        <is>
          <t>FAQ</t>
        </is>
      </c>
      <c r="G32" s="18" t="inlineStr">
        <is>
          <t>Why the same CTA cannot serve every peptide business model</t>
        </is>
      </c>
      <c r="H32" s="18" t="inlineStr">
        <is>
          <t>Model clarity</t>
        </is>
      </c>
      <c r="I32" s="18" t="inlineStr">
        <is>
          <t>Relevant guide or permission-based enquiry</t>
        </is>
      </c>
      <c r="J32" s="18" t="inlineStr">
        <is>
          <t>Claim register approved</t>
        </is>
      </c>
      <c r="K32" s="27" t="inlineStr">
        <is>
          <t>Assign</t>
        </is>
      </c>
      <c r="L32" s="27" t="inlineStr">
        <is>
          <t>Planned</t>
        </is>
      </c>
    </row>
    <row r="33" ht="48" customHeight="1">
      <c r="B33" s="31" t="n">
        <v>10</v>
      </c>
      <c r="C33" s="38">
        <f>Overview!$C$18+(10-1)*7+1</f>
        <v/>
      </c>
      <c r="D33" s="31" t="inlineStr">
        <is>
          <t>Tue</t>
        </is>
      </c>
      <c r="E33" s="24" t="inlineStr">
        <is>
          <t>Instagram + TikTok</t>
        </is>
      </c>
      <c r="F33" s="24" t="inlineStr">
        <is>
          <t>Video</t>
        </is>
      </c>
      <c r="G33" s="24" t="inlineStr">
        <is>
          <t>What trustworthy process proof looks like</t>
        </is>
      </c>
      <c r="H33" s="24" t="inlineStr">
        <is>
          <t>Provider verification</t>
        </is>
      </c>
      <c r="I33" s="24" t="inlineStr">
        <is>
          <t>Relevant guide or permission-based enquiry</t>
        </is>
      </c>
      <c r="J33" s="24" t="inlineStr">
        <is>
          <t>Claim register approved</t>
        </is>
      </c>
      <c r="K33" s="27" t="inlineStr">
        <is>
          <t>Assign</t>
        </is>
      </c>
      <c r="L33" s="27" t="inlineStr">
        <is>
          <t>Planned</t>
        </is>
      </c>
    </row>
    <row r="34" ht="48" customHeight="1">
      <c r="B34" s="16" t="n">
        <v>10</v>
      </c>
      <c r="C34" s="37">
        <f>Overview!$C$18+(10-1)*7+3</f>
        <v/>
      </c>
      <c r="D34" s="16" t="inlineStr">
        <is>
          <t>Thu</t>
        </is>
      </c>
      <c r="E34" s="18" t="inlineStr">
        <is>
          <t>Instagram + LinkedIn</t>
        </is>
      </c>
      <c r="F34" s="18" t="inlineStr">
        <is>
          <t>Carousel</t>
        </is>
      </c>
      <c r="G34" s="18" t="inlineStr">
        <is>
          <t>Trust signals that can be verified versus vague badges</t>
        </is>
      </c>
      <c r="H34" s="18" t="inlineStr">
        <is>
          <t>Provider verification</t>
        </is>
      </c>
      <c r="I34" s="18" t="inlineStr">
        <is>
          <t>Relevant guide or permission-based enquiry</t>
        </is>
      </c>
      <c r="J34" s="18" t="inlineStr">
        <is>
          <t>Claim register approved</t>
        </is>
      </c>
      <c r="K34" s="27" t="inlineStr">
        <is>
          <t>Assign</t>
        </is>
      </c>
      <c r="L34" s="27" t="inlineStr">
        <is>
          <t>Planned</t>
        </is>
      </c>
    </row>
    <row r="35" ht="48" customHeight="1">
      <c r="B35" s="31" t="n">
        <v>10</v>
      </c>
      <c r="C35" s="38">
        <f>Overview!$C$18+(10-1)*7+5</f>
        <v/>
      </c>
      <c r="D35" s="31" t="inlineStr">
        <is>
          <t>Sat</t>
        </is>
      </c>
      <c r="E35" s="24" t="inlineStr">
        <is>
          <t>Website + Instagram</t>
        </is>
      </c>
      <c r="F35" s="24" t="inlineStr">
        <is>
          <t>FAQ</t>
        </is>
      </c>
      <c r="G35" s="24" t="inlineStr">
        <is>
          <t>When testimonials create risk or mislead</t>
        </is>
      </c>
      <c r="H35" s="24" t="inlineStr">
        <is>
          <t>FAQ and boundaries</t>
        </is>
      </c>
      <c r="I35" s="24" t="inlineStr">
        <is>
          <t>Relevant guide or permission-based enquiry</t>
        </is>
      </c>
      <c r="J35" s="24" t="inlineStr">
        <is>
          <t>Claim register approved</t>
        </is>
      </c>
      <c r="K35" s="27" t="inlineStr">
        <is>
          <t>Assign</t>
        </is>
      </c>
      <c r="L35" s="27" t="inlineStr">
        <is>
          <t>Planned</t>
        </is>
      </c>
    </row>
    <row r="36" ht="48" customHeight="1">
      <c r="B36" s="16" t="n">
        <v>11</v>
      </c>
      <c r="C36" s="37">
        <f>Overview!$C$18+(11-1)*7+1</f>
        <v/>
      </c>
      <c r="D36" s="16" t="inlineStr">
        <is>
          <t>Tue</t>
        </is>
      </c>
      <c r="E36" s="18" t="inlineStr">
        <is>
          <t>Instagram + TikTok</t>
        </is>
      </c>
      <c r="F36" s="18" t="inlineStr">
        <is>
          <t>Video</t>
        </is>
      </c>
      <c r="G36" s="18" t="inlineStr">
        <is>
          <t>What a good referral partner needs to know about George</t>
        </is>
      </c>
      <c r="H36" s="18" t="inlineStr">
        <is>
          <t>Provider verification</t>
        </is>
      </c>
      <c r="I36" s="18" t="inlineStr">
        <is>
          <t>Relevant guide or permission-based enquiry</t>
        </is>
      </c>
      <c r="J36" s="18" t="inlineStr">
        <is>
          <t>Claim register approved</t>
        </is>
      </c>
      <c r="K36" s="27" t="inlineStr">
        <is>
          <t>Assign</t>
        </is>
      </c>
      <c r="L36" s="27" t="inlineStr">
        <is>
          <t>Planned</t>
        </is>
      </c>
    </row>
    <row r="37" ht="48" customHeight="1">
      <c r="B37" s="31" t="n">
        <v>11</v>
      </c>
      <c r="C37" s="38">
        <f>Overview!$C$18+(11-1)*7+3</f>
        <v/>
      </c>
      <c r="D37" s="31" t="inlineStr">
        <is>
          <t>Thu</t>
        </is>
      </c>
      <c r="E37" s="24" t="inlineStr">
        <is>
          <t>Instagram + LinkedIn</t>
        </is>
      </c>
      <c r="F37" s="24" t="inlineStr">
        <is>
          <t>Carousel</t>
        </is>
      </c>
      <c r="G37" s="24" t="inlineStr">
        <is>
          <t>Partner information pack: model, audience, boundaries, process, contact</t>
        </is>
      </c>
      <c r="H37" s="24" t="inlineStr">
        <is>
          <t>Process</t>
        </is>
      </c>
      <c r="I37" s="24" t="inlineStr">
        <is>
          <t>Relevant guide or permission-based enquiry</t>
        </is>
      </c>
      <c r="J37" s="24" t="inlineStr">
        <is>
          <t>Claim register approved</t>
        </is>
      </c>
      <c r="K37" s="27" t="inlineStr">
        <is>
          <t>Assign</t>
        </is>
      </c>
      <c r="L37" s="27" t="inlineStr">
        <is>
          <t>Planned</t>
        </is>
      </c>
    </row>
    <row r="38" ht="48" customHeight="1">
      <c r="B38" s="16" t="n">
        <v>11</v>
      </c>
      <c r="C38" s="37">
        <f>Overview!$C$18+(11-1)*7+5</f>
        <v/>
      </c>
      <c r="D38" s="16" t="inlineStr">
        <is>
          <t>Sat</t>
        </is>
      </c>
      <c r="E38" s="18" t="inlineStr">
        <is>
          <t>Website + Instagram</t>
        </is>
      </c>
      <c r="F38" s="18" t="inlineStr">
        <is>
          <t>FAQ</t>
        </is>
      </c>
      <c r="G38" s="18" t="inlineStr">
        <is>
          <t>How commercial relationships should be disclosed</t>
        </is>
      </c>
      <c r="H38" s="18" t="inlineStr">
        <is>
          <t>FAQ and boundaries</t>
        </is>
      </c>
      <c r="I38" s="18" t="inlineStr">
        <is>
          <t>Relevant guide or permission-based enquiry</t>
        </is>
      </c>
      <c r="J38" s="18" t="inlineStr">
        <is>
          <t>Claim register approved</t>
        </is>
      </c>
      <c r="K38" s="27" t="inlineStr">
        <is>
          <t>Assign</t>
        </is>
      </c>
      <c r="L38" s="27" t="inlineStr">
        <is>
          <t>Planned</t>
        </is>
      </c>
    </row>
    <row r="39" ht="48" customHeight="1">
      <c r="B39" s="31" t="n">
        <v>12</v>
      </c>
      <c r="C39" s="38">
        <f>Overview!$C$18+(12-1)*7+1</f>
        <v/>
      </c>
      <c r="D39" s="31" t="inlineStr">
        <is>
          <t>Tue</t>
        </is>
      </c>
      <c r="E39" s="24" t="inlineStr">
        <is>
          <t>Instagram + TikTok</t>
        </is>
      </c>
      <c r="F39" s="24" t="inlineStr">
        <is>
          <t>Video</t>
        </is>
      </c>
      <c r="G39" s="24" t="inlineStr">
        <is>
          <t>What the first 90 days have taught us</t>
        </is>
      </c>
      <c r="H39" s="24" t="inlineStr">
        <is>
          <t>Process</t>
        </is>
      </c>
      <c r="I39" s="24" t="inlineStr">
        <is>
          <t>Relevant guide or permission-based enquiry</t>
        </is>
      </c>
      <c r="J39" s="24" t="inlineStr">
        <is>
          <t>Claim register approved</t>
        </is>
      </c>
      <c r="K39" s="27" t="inlineStr">
        <is>
          <t>Assign</t>
        </is>
      </c>
      <c r="L39" s="27" t="inlineStr">
        <is>
          <t>Planned</t>
        </is>
      </c>
    </row>
    <row r="40" ht="48" customHeight="1">
      <c r="B40" s="16" t="n">
        <v>12</v>
      </c>
      <c r="C40" s="37">
        <f>Overview!$C$18+(12-1)*7+3</f>
        <v/>
      </c>
      <c r="D40" s="16" t="inlineStr">
        <is>
          <t>Thu</t>
        </is>
      </c>
      <c r="E40" s="18" t="inlineStr">
        <is>
          <t>Instagram + LinkedIn</t>
        </is>
      </c>
      <c r="F40" s="18" t="inlineStr">
        <is>
          <t>Carousel</t>
        </is>
      </c>
      <c r="G40" s="18" t="inlineStr">
        <is>
          <t>The winning topic: what the data shows and what remains unknown</t>
        </is>
      </c>
      <c r="H40" s="18" t="inlineStr">
        <is>
          <t>Evidence literacy</t>
        </is>
      </c>
      <c r="I40" s="18" t="inlineStr">
        <is>
          <t>Relevant guide or permission-based enquiry</t>
        </is>
      </c>
      <c r="J40" s="18" t="inlineStr">
        <is>
          <t>Claim register approved</t>
        </is>
      </c>
      <c r="K40" s="27" t="inlineStr">
        <is>
          <t>Assign</t>
        </is>
      </c>
      <c r="L40" s="27" t="inlineStr">
        <is>
          <t>Planned</t>
        </is>
      </c>
    </row>
    <row r="41" ht="48" customHeight="1">
      <c r="B41" s="31" t="n">
        <v>12</v>
      </c>
      <c r="C41" s="38">
        <f>Overview!$C$18+(12-1)*7+5</f>
        <v/>
      </c>
      <c r="D41" s="31" t="inlineStr">
        <is>
          <t>Sat</t>
        </is>
      </c>
      <c r="E41" s="24" t="inlineStr">
        <is>
          <t>Website + Instagram</t>
        </is>
      </c>
      <c r="F41" s="24" t="inlineStr">
        <is>
          <t>FAQ</t>
        </is>
      </c>
      <c r="G41" s="24" t="inlineStr">
        <is>
          <t>Why George is concentrating rather than adding more platforms</t>
        </is>
      </c>
      <c r="H41" s="24" t="inlineStr">
        <is>
          <t>Process</t>
        </is>
      </c>
      <c r="I41" s="24" t="inlineStr">
        <is>
          <t>Relevant guide or permission-based enquiry</t>
        </is>
      </c>
      <c r="J41" s="24" t="inlineStr">
        <is>
          <t>Claim register approved</t>
        </is>
      </c>
      <c r="K41" s="27" t="inlineStr">
        <is>
          <t>Assign</t>
        </is>
      </c>
      <c r="L41" s="27" t="inlineStr">
        <is>
          <t>Planned</t>
        </is>
      </c>
    </row>
    <row r="42" ht="48" customHeight="1">
      <c r="B42" s="16" t="n">
        <v>13</v>
      </c>
      <c r="C42" s="37">
        <f>Overview!$C$18+(13-1)*7+1</f>
        <v/>
      </c>
      <c r="D42" s="16" t="inlineStr">
        <is>
          <t>Tue</t>
        </is>
      </c>
      <c r="E42" s="18" t="inlineStr">
        <is>
          <t>Instagram + TikTok</t>
        </is>
      </c>
      <c r="F42" s="18" t="inlineStr">
        <is>
          <t>Video</t>
        </is>
      </c>
      <c r="G42" s="18" t="inlineStr">
        <is>
          <t>Scale, revise, or stop: the day-90 decision</t>
        </is>
      </c>
      <c r="H42" s="18" t="inlineStr">
        <is>
          <t>Process</t>
        </is>
      </c>
      <c r="I42" s="18" t="inlineStr">
        <is>
          <t>Relevant guide or permission-based enquiry</t>
        </is>
      </c>
      <c r="J42" s="18" t="inlineStr">
        <is>
          <t>Claim register approved</t>
        </is>
      </c>
      <c r="K42" s="27" t="inlineStr">
        <is>
          <t>Assign</t>
        </is>
      </c>
      <c r="L42" s="27" t="inlineStr">
        <is>
          <t>Planned</t>
        </is>
      </c>
    </row>
    <row r="43" ht="48" customHeight="1">
      <c r="B43" s="31" t="n">
        <v>13</v>
      </c>
      <c r="C43" s="38">
        <f>Overview!$C$18+(13-1)*7+3</f>
        <v/>
      </c>
      <c r="D43" s="31" t="inlineStr">
        <is>
          <t>Thu</t>
        </is>
      </c>
      <c r="E43" s="24" t="inlineStr">
        <is>
          <t>Instagram + LinkedIn</t>
        </is>
      </c>
      <c r="F43" s="24" t="inlineStr">
        <is>
          <t>Carousel</t>
        </is>
      </c>
      <c r="G43" s="24" t="inlineStr">
        <is>
          <t>George’s next-quarter decision scorecard</t>
        </is>
      </c>
      <c r="H43" s="24" t="inlineStr">
        <is>
          <t>Process</t>
        </is>
      </c>
      <c r="I43" s="24" t="inlineStr">
        <is>
          <t>Relevant guide or permission-based enquiry</t>
        </is>
      </c>
      <c r="J43" s="24" t="inlineStr">
        <is>
          <t>Claim register approved</t>
        </is>
      </c>
      <c r="K43" s="27" t="inlineStr">
        <is>
          <t>Assign</t>
        </is>
      </c>
      <c r="L43" s="27" t="inlineStr">
        <is>
          <t>Planned</t>
        </is>
      </c>
    </row>
    <row r="44" ht="48" customHeight="1">
      <c r="B44" s="16" t="n">
        <v>13</v>
      </c>
      <c r="C44" s="37">
        <f>Overview!$C$18+(13-1)*7+5</f>
        <v/>
      </c>
      <c r="D44" s="16" t="inlineStr">
        <is>
          <t>Sat</t>
        </is>
      </c>
      <c r="E44" s="18" t="inlineStr">
        <is>
          <t>Website + Instagram</t>
        </is>
      </c>
      <c r="F44" s="18" t="inlineStr">
        <is>
          <t>FAQ</t>
        </is>
      </c>
      <c r="G44" s="18" t="inlineStr">
        <is>
          <t>What evidence is required before increasing marketing spend?</t>
        </is>
      </c>
      <c r="H44" s="18" t="inlineStr">
        <is>
          <t>Evidence literacy</t>
        </is>
      </c>
      <c r="I44" s="18" t="inlineStr">
        <is>
          <t>Relevant guide or permission-based enquiry</t>
        </is>
      </c>
      <c r="J44" s="18" t="inlineStr">
        <is>
          <t>Claim register approved</t>
        </is>
      </c>
      <c r="K44" s="27" t="inlineStr">
        <is>
          <t>Assign</t>
        </is>
      </c>
      <c r="L44" s="27" t="inlineStr">
        <is>
          <t>Planned</t>
        </is>
      </c>
    </row>
  </sheetData>
  <autoFilter ref="B5:L44"/>
  <mergeCells count="2">
    <mergeCell ref="B2:L2"/>
    <mergeCell ref="B3:L3"/>
  </mergeCells>
  <conditionalFormatting sqref="L6:L44">
    <cfRule type="expression" priority="1" dxfId="0">
      <formula>$L6="Complete"</formula>
    </cfRule>
    <cfRule type="expression" priority="2" dxfId="0">
      <formula>$L6="Approved"</formula>
    </cfRule>
    <cfRule type="expression" priority="3" dxfId="1">
      <formula>$L6="Blocked"</formula>
    </cfRule>
    <cfRule type="expression" priority="4" dxfId="1">
      <formula>$L6="Rejected"</formula>
    </cfRule>
    <cfRule type="expression" priority="5" dxfId="2">
      <formula>$L6="In progress"</formula>
    </cfRule>
    <cfRule type="expression" priority="6" dxfId="2">
      <formula>$L6="Review"</formula>
    </cfRule>
  </conditionalFormatting>
  <dataValidations count="1">
    <dataValidation sqref="L6:L44" showDropDown="0" showInputMessage="0" showErrorMessage="0" allowBlank="1" errorTitle="Invalid status" error="Choose a value from the list." type="list">
      <formula1>"Planned,Drafting,Review,Approved,Scheduled,Published,Blocked"</formula1>
    </dataValidation>
  </dataValidations>
  <pageMargins left="0.75" right="0.75" top="1" bottom="1" header="0.5" footer="0.5"/>
  <pageSetup fitToHeight="0" fitToWidth="1"/>
  <headerFooter>
    <oddHeader/>
    <oddFooter>&amp;CGeorge 90-Day Marketing Plan | Confidential working document&amp;RPage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V27"/>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5" customWidth="1" min="3" max="3"/>
    <col width="15" customWidth="1" min="4" max="4"/>
    <col width="15" customWidth="1" min="5" max="5"/>
    <col width="13" customWidth="1" min="6" max="6"/>
    <col width="13" customWidth="1" min="7" max="7"/>
    <col width="13" customWidth="1" min="8" max="8"/>
    <col width="15" customWidth="1" min="9" max="9"/>
    <col width="16" customWidth="1" min="10" max="10"/>
    <col width="13" customWidth="1" min="11" max="11"/>
    <col width="15" customWidth="1" min="12" max="12"/>
    <col width="13" customWidth="1" min="13" max="13"/>
    <col width="14" customWidth="1" min="14" max="14"/>
    <col width="15" customWidth="1" min="15" max="15"/>
    <col width="17" customWidth="1" min="16" max="16"/>
    <col width="15" customWidth="1" min="17" max="17"/>
    <col width="13" customWidth="1" min="18" max="18"/>
    <col width="18" customWidth="1" min="19" max="19"/>
    <col width="16" customWidth="1" min="20" max="20"/>
    <col width="18" customWidth="1" min="21" max="21"/>
    <col width="22" customWidth="1" min="22" max="22"/>
  </cols>
  <sheetData>
    <row r="1" ht="10" customHeight="1"/>
    <row r="2" ht="30" customHeight="1">
      <c r="B2" s="1" t="inlineStr">
        <is>
          <t>Weekly KPI and Economics Tracker</t>
        </is>
      </c>
    </row>
    <row r="3" ht="28" customHeight="1">
      <c r="B3" s="2" t="inlineStr">
        <is>
          <t>Yellow cells are weekly inputs. Formula columns calculate automatically. Use qualified outcomes and contribution—not reach—as the decision basis.</t>
        </is>
      </c>
    </row>
    <row r="4"/>
    <row r="5" ht="32" customHeight="1">
      <c r="B5" s="15" t="inlineStr">
        <is>
          <t>Week</t>
        </is>
      </c>
      <c r="C5" s="15" t="inlineStr">
        <is>
          <t>Start date</t>
        </is>
      </c>
      <c r="D5" s="15" t="inlineStr">
        <is>
          <t>Planned spend</t>
        </is>
      </c>
      <c r="E5" s="15" t="inlineStr">
        <is>
          <t>Actual spend</t>
        </is>
      </c>
      <c r="F5" s="15" t="inlineStr">
        <is>
          <t>Sessions</t>
        </is>
      </c>
      <c r="G5" s="15" t="inlineStr">
        <is>
          <t>Ad clicks</t>
        </is>
      </c>
      <c r="H5" s="15" t="inlineStr">
        <is>
          <t>Enquiries</t>
        </is>
      </c>
      <c r="I5" s="15" t="inlineStr">
        <is>
          <t>Qualified enquiries</t>
        </is>
      </c>
      <c r="J5" s="15" t="inlineStr">
        <is>
          <t>Consultations/quotes</t>
        </is>
      </c>
      <c r="K5" s="15" t="inlineStr">
        <is>
          <t>Conversions</t>
        </is>
      </c>
      <c r="L5" s="15" t="inlineStr">
        <is>
          <t>Revenue</t>
        </is>
      </c>
      <c r="M5" s="15" t="inlineStr">
        <is>
          <t>CPC</t>
        </is>
      </c>
      <c r="N5" s="15" t="inlineStr">
        <is>
          <t>Visit→enquiry</t>
        </is>
      </c>
      <c r="O5" s="15" t="inlineStr">
        <is>
          <t>Qualified rate</t>
        </is>
      </c>
      <c r="P5" s="15" t="inlineStr">
        <is>
          <t>Cost/qualified</t>
        </is>
      </c>
      <c r="Q5" s="15" t="inlineStr">
        <is>
          <t>CAC</t>
        </is>
      </c>
      <c r="R5" s="15" t="inlineStr">
        <is>
          <t>ROAS</t>
        </is>
      </c>
      <c r="S5" s="15" t="inlineStr">
        <is>
          <t>Median response (min)</t>
        </is>
      </c>
      <c r="T5" s="15" t="inlineStr">
        <is>
          <t>Content published</t>
        </is>
      </c>
      <c r="U5" s="15" t="inlineStr">
        <is>
          <t>Complaints/policy events</t>
        </is>
      </c>
      <c r="V5" s="15" t="inlineStr">
        <is>
          <t>Decision</t>
        </is>
      </c>
    </row>
    <row r="6">
      <c r="B6" s="16" t="n">
        <v>1</v>
      </c>
      <c r="C6" s="37">
        <f>Overview!$C$18+(1-1)*7</f>
        <v/>
      </c>
      <c r="D6" s="17" t="n">
        <v>4000</v>
      </c>
      <c r="E6" s="26" t="n"/>
      <c r="F6" s="39" t="n"/>
      <c r="G6" s="39" t="n"/>
      <c r="H6" s="39" t="n"/>
      <c r="I6" s="39" t="n"/>
      <c r="J6" s="39" t="n"/>
      <c r="K6" s="39" t="n"/>
      <c r="L6" s="26" t="n"/>
      <c r="M6" s="17">
        <f>IFERROR(E6/G6,"")</f>
        <v/>
      </c>
      <c r="N6" s="33">
        <f>IFERROR(H6/F6,"")</f>
        <v/>
      </c>
      <c r="O6" s="33">
        <f>IFERROR(I6/H6,"")</f>
        <v/>
      </c>
      <c r="P6" s="17">
        <f>IFERROR(E6/I6,"")</f>
        <v/>
      </c>
      <c r="Q6" s="17">
        <f>IFERROR(E6/K6,"")</f>
        <v/>
      </c>
      <c r="R6" s="40">
        <f>IFERROR(L6/E6,"")</f>
        <v/>
      </c>
      <c r="S6" s="39" t="n"/>
      <c r="T6" s="39" t="n"/>
      <c r="U6" s="39" t="n"/>
      <c r="V6" s="41" t="inlineStr">
        <is>
          <t>Review</t>
        </is>
      </c>
    </row>
    <row r="7">
      <c r="B7" s="31" t="n">
        <v>2</v>
      </c>
      <c r="C7" s="38">
        <f>Overview!$C$18+(2-1)*7</f>
        <v/>
      </c>
      <c r="D7" s="25" t="n">
        <v>3500</v>
      </c>
      <c r="E7" s="26" t="n"/>
      <c r="F7" s="39" t="n"/>
      <c r="G7" s="39" t="n"/>
      <c r="H7" s="39" t="n"/>
      <c r="I7" s="39" t="n"/>
      <c r="J7" s="39" t="n"/>
      <c r="K7" s="39" t="n"/>
      <c r="L7" s="26" t="n"/>
      <c r="M7" s="25">
        <f>IFERROR(E7/G7,"")</f>
        <v/>
      </c>
      <c r="N7" s="32">
        <f>IFERROR(H7/F7,"")</f>
        <v/>
      </c>
      <c r="O7" s="32">
        <f>IFERROR(I7/H7,"")</f>
        <v/>
      </c>
      <c r="P7" s="25">
        <f>IFERROR(E7/I7,"")</f>
        <v/>
      </c>
      <c r="Q7" s="25">
        <f>IFERROR(E7/K7,"")</f>
        <v/>
      </c>
      <c r="R7" s="42">
        <f>IFERROR(L7/E7,"")</f>
        <v/>
      </c>
      <c r="S7" s="39" t="n"/>
      <c r="T7" s="39" t="n"/>
      <c r="U7" s="39" t="n"/>
      <c r="V7" s="41" t="inlineStr">
        <is>
          <t>Review</t>
        </is>
      </c>
    </row>
    <row r="8">
      <c r="B8" s="16" t="n">
        <v>3</v>
      </c>
      <c r="C8" s="37">
        <f>Overview!$C$18+(3-1)*7</f>
        <v/>
      </c>
      <c r="D8" s="17" t="n">
        <v>3500</v>
      </c>
      <c r="E8" s="26" t="n"/>
      <c r="F8" s="39" t="n"/>
      <c r="G8" s="39" t="n"/>
      <c r="H8" s="39" t="n"/>
      <c r="I8" s="39" t="n"/>
      <c r="J8" s="39" t="n"/>
      <c r="K8" s="39" t="n"/>
      <c r="L8" s="26" t="n"/>
      <c r="M8" s="17">
        <f>IFERROR(E8/G8,"")</f>
        <v/>
      </c>
      <c r="N8" s="33">
        <f>IFERROR(H8/F8,"")</f>
        <v/>
      </c>
      <c r="O8" s="33">
        <f>IFERROR(I8/H8,"")</f>
        <v/>
      </c>
      <c r="P8" s="17">
        <f>IFERROR(E8/I8,"")</f>
        <v/>
      </c>
      <c r="Q8" s="17">
        <f>IFERROR(E8/K8,"")</f>
        <v/>
      </c>
      <c r="R8" s="40">
        <f>IFERROR(L8/E8,"")</f>
        <v/>
      </c>
      <c r="S8" s="39" t="n"/>
      <c r="T8" s="39" t="n"/>
      <c r="U8" s="39" t="n"/>
      <c r="V8" s="41" t="inlineStr">
        <is>
          <t>Review</t>
        </is>
      </c>
    </row>
    <row r="9">
      <c r="B9" s="31" t="n">
        <v>4</v>
      </c>
      <c r="C9" s="38">
        <f>Overview!$C$18+(4-1)*7</f>
        <v/>
      </c>
      <c r="D9" s="25" t="n">
        <v>2000</v>
      </c>
      <c r="E9" s="26" t="n"/>
      <c r="F9" s="39" t="n"/>
      <c r="G9" s="39" t="n"/>
      <c r="H9" s="39" t="n"/>
      <c r="I9" s="39" t="n"/>
      <c r="J9" s="39" t="n"/>
      <c r="K9" s="39" t="n"/>
      <c r="L9" s="26" t="n"/>
      <c r="M9" s="25">
        <f>IFERROR(E9/G9,"")</f>
        <v/>
      </c>
      <c r="N9" s="32">
        <f>IFERROR(H9/F9,"")</f>
        <v/>
      </c>
      <c r="O9" s="32">
        <f>IFERROR(I9/H9,"")</f>
        <v/>
      </c>
      <c r="P9" s="25">
        <f>IFERROR(E9/I9,"")</f>
        <v/>
      </c>
      <c r="Q9" s="25">
        <f>IFERROR(E9/K9,"")</f>
        <v/>
      </c>
      <c r="R9" s="42">
        <f>IFERROR(L9/E9,"")</f>
        <v/>
      </c>
      <c r="S9" s="39" t="n"/>
      <c r="T9" s="39" t="n"/>
      <c r="U9" s="39" t="n"/>
      <c r="V9" s="41" t="inlineStr">
        <is>
          <t>Review</t>
        </is>
      </c>
    </row>
    <row r="10">
      <c r="B10" s="16" t="n">
        <v>5</v>
      </c>
      <c r="C10" s="37">
        <f>Overview!$C$18+(5-1)*7</f>
        <v/>
      </c>
      <c r="D10" s="17" t="n">
        <v>2500</v>
      </c>
      <c r="E10" s="26" t="n"/>
      <c r="F10" s="39" t="n"/>
      <c r="G10" s="39" t="n"/>
      <c r="H10" s="39" t="n"/>
      <c r="I10" s="39" t="n"/>
      <c r="J10" s="39" t="n"/>
      <c r="K10" s="39" t="n"/>
      <c r="L10" s="26" t="n"/>
      <c r="M10" s="17">
        <f>IFERROR(E10/G10,"")</f>
        <v/>
      </c>
      <c r="N10" s="33">
        <f>IFERROR(H10/F10,"")</f>
        <v/>
      </c>
      <c r="O10" s="33">
        <f>IFERROR(I10/H10,"")</f>
        <v/>
      </c>
      <c r="P10" s="17">
        <f>IFERROR(E10/I10,"")</f>
        <v/>
      </c>
      <c r="Q10" s="17">
        <f>IFERROR(E10/K10,"")</f>
        <v/>
      </c>
      <c r="R10" s="40">
        <f>IFERROR(L10/E10,"")</f>
        <v/>
      </c>
      <c r="S10" s="39" t="n"/>
      <c r="T10" s="39" t="n"/>
      <c r="U10" s="39" t="n"/>
      <c r="V10" s="41" t="inlineStr">
        <is>
          <t>Review</t>
        </is>
      </c>
    </row>
    <row r="11">
      <c r="B11" s="31" t="n">
        <v>6</v>
      </c>
      <c r="C11" s="38">
        <f>Overview!$C$18+(6-1)*7</f>
        <v/>
      </c>
      <c r="D11" s="25" t="n">
        <v>2800</v>
      </c>
      <c r="E11" s="26" t="n"/>
      <c r="F11" s="39" t="n"/>
      <c r="G11" s="39" t="n"/>
      <c r="H11" s="39" t="n"/>
      <c r="I11" s="39" t="n"/>
      <c r="J11" s="39" t="n"/>
      <c r="K11" s="39" t="n"/>
      <c r="L11" s="26" t="n"/>
      <c r="M11" s="25">
        <f>IFERROR(E11/G11,"")</f>
        <v/>
      </c>
      <c r="N11" s="32">
        <f>IFERROR(H11/F11,"")</f>
        <v/>
      </c>
      <c r="O11" s="32">
        <f>IFERROR(I11/H11,"")</f>
        <v/>
      </c>
      <c r="P11" s="25">
        <f>IFERROR(E11/I11,"")</f>
        <v/>
      </c>
      <c r="Q11" s="25">
        <f>IFERROR(E11/K11,"")</f>
        <v/>
      </c>
      <c r="R11" s="42">
        <f>IFERROR(L11/E11,"")</f>
        <v/>
      </c>
      <c r="S11" s="39" t="n"/>
      <c r="T11" s="39" t="n"/>
      <c r="U11" s="39" t="n"/>
      <c r="V11" s="41" t="inlineStr">
        <is>
          <t>Review</t>
        </is>
      </c>
    </row>
    <row r="12">
      <c r="B12" s="16" t="n">
        <v>7</v>
      </c>
      <c r="C12" s="37">
        <f>Overview!$C$18+(7-1)*7</f>
        <v/>
      </c>
      <c r="D12" s="17" t="n">
        <v>2800</v>
      </c>
      <c r="E12" s="26" t="n"/>
      <c r="F12" s="39" t="n"/>
      <c r="G12" s="39" t="n"/>
      <c r="H12" s="39" t="n"/>
      <c r="I12" s="39" t="n"/>
      <c r="J12" s="39" t="n"/>
      <c r="K12" s="39" t="n"/>
      <c r="L12" s="26" t="n"/>
      <c r="M12" s="17">
        <f>IFERROR(E12/G12,"")</f>
        <v/>
      </c>
      <c r="N12" s="33">
        <f>IFERROR(H12/F12,"")</f>
        <v/>
      </c>
      <c r="O12" s="33">
        <f>IFERROR(I12/H12,"")</f>
        <v/>
      </c>
      <c r="P12" s="17">
        <f>IFERROR(E12/I12,"")</f>
        <v/>
      </c>
      <c r="Q12" s="17">
        <f>IFERROR(E12/K12,"")</f>
        <v/>
      </c>
      <c r="R12" s="40">
        <f>IFERROR(L12/E12,"")</f>
        <v/>
      </c>
      <c r="S12" s="39" t="n"/>
      <c r="T12" s="39" t="n"/>
      <c r="U12" s="39" t="n"/>
      <c r="V12" s="41" t="inlineStr">
        <is>
          <t>Review</t>
        </is>
      </c>
    </row>
    <row r="13">
      <c r="B13" s="31" t="n">
        <v>8</v>
      </c>
      <c r="C13" s="38">
        <f>Overview!$C$18+(8-1)*7</f>
        <v/>
      </c>
      <c r="D13" s="25" t="n">
        <v>2900</v>
      </c>
      <c r="E13" s="26" t="n"/>
      <c r="F13" s="39" t="n"/>
      <c r="G13" s="39" t="n"/>
      <c r="H13" s="39" t="n"/>
      <c r="I13" s="39" t="n"/>
      <c r="J13" s="39" t="n"/>
      <c r="K13" s="39" t="n"/>
      <c r="L13" s="26" t="n"/>
      <c r="M13" s="25">
        <f>IFERROR(E13/G13,"")</f>
        <v/>
      </c>
      <c r="N13" s="32">
        <f>IFERROR(H13/F13,"")</f>
        <v/>
      </c>
      <c r="O13" s="32">
        <f>IFERROR(I13/H13,"")</f>
        <v/>
      </c>
      <c r="P13" s="25">
        <f>IFERROR(E13/I13,"")</f>
        <v/>
      </c>
      <c r="Q13" s="25">
        <f>IFERROR(E13/K13,"")</f>
        <v/>
      </c>
      <c r="R13" s="42">
        <f>IFERROR(L13/E13,"")</f>
        <v/>
      </c>
      <c r="S13" s="39" t="n"/>
      <c r="T13" s="39" t="n"/>
      <c r="U13" s="39" t="n"/>
      <c r="V13" s="41" t="inlineStr">
        <is>
          <t>Review</t>
        </is>
      </c>
    </row>
    <row r="14">
      <c r="B14" s="16" t="n">
        <v>9</v>
      </c>
      <c r="C14" s="37">
        <f>Overview!$C$18+(9-1)*7</f>
        <v/>
      </c>
      <c r="D14" s="17" t="n">
        <v>2800</v>
      </c>
      <c r="E14" s="26" t="n"/>
      <c r="F14" s="39" t="n"/>
      <c r="G14" s="39" t="n"/>
      <c r="H14" s="39" t="n"/>
      <c r="I14" s="39" t="n"/>
      <c r="J14" s="39" t="n"/>
      <c r="K14" s="39" t="n"/>
      <c r="L14" s="26" t="n"/>
      <c r="M14" s="17">
        <f>IFERROR(E14/G14,"")</f>
        <v/>
      </c>
      <c r="N14" s="33">
        <f>IFERROR(H14/F14,"")</f>
        <v/>
      </c>
      <c r="O14" s="33">
        <f>IFERROR(I14/H14,"")</f>
        <v/>
      </c>
      <c r="P14" s="17">
        <f>IFERROR(E14/I14,"")</f>
        <v/>
      </c>
      <c r="Q14" s="17">
        <f>IFERROR(E14/K14,"")</f>
        <v/>
      </c>
      <c r="R14" s="40">
        <f>IFERROR(L14/E14,"")</f>
        <v/>
      </c>
      <c r="S14" s="39" t="n"/>
      <c r="T14" s="39" t="n"/>
      <c r="U14" s="39" t="n"/>
      <c r="V14" s="41" t="inlineStr">
        <is>
          <t>Review</t>
        </is>
      </c>
    </row>
    <row r="15">
      <c r="B15" s="31" t="n">
        <v>10</v>
      </c>
      <c r="C15" s="38">
        <f>Overview!$C$18+(10-1)*7</f>
        <v/>
      </c>
      <c r="D15" s="25" t="n">
        <v>3000</v>
      </c>
      <c r="E15" s="26" t="n"/>
      <c r="F15" s="39" t="n"/>
      <c r="G15" s="39" t="n"/>
      <c r="H15" s="39" t="n"/>
      <c r="I15" s="39" t="n"/>
      <c r="J15" s="39" t="n"/>
      <c r="K15" s="39" t="n"/>
      <c r="L15" s="26" t="n"/>
      <c r="M15" s="25">
        <f>IFERROR(E15/G15,"")</f>
        <v/>
      </c>
      <c r="N15" s="32">
        <f>IFERROR(H15/F15,"")</f>
        <v/>
      </c>
      <c r="O15" s="32">
        <f>IFERROR(I15/H15,"")</f>
        <v/>
      </c>
      <c r="P15" s="25">
        <f>IFERROR(E15/I15,"")</f>
        <v/>
      </c>
      <c r="Q15" s="25">
        <f>IFERROR(E15/K15,"")</f>
        <v/>
      </c>
      <c r="R15" s="42">
        <f>IFERROR(L15/E15,"")</f>
        <v/>
      </c>
      <c r="S15" s="39" t="n"/>
      <c r="T15" s="39" t="n"/>
      <c r="U15" s="39" t="n"/>
      <c r="V15" s="41" t="inlineStr">
        <is>
          <t>Review</t>
        </is>
      </c>
    </row>
    <row r="16">
      <c r="B16" s="16" t="n">
        <v>11</v>
      </c>
      <c r="C16" s="37">
        <f>Overview!$C$18+(11-1)*7</f>
        <v/>
      </c>
      <c r="D16" s="17" t="n">
        <v>3000</v>
      </c>
      <c r="E16" s="26" t="n"/>
      <c r="F16" s="39" t="n"/>
      <c r="G16" s="39" t="n"/>
      <c r="H16" s="39" t="n"/>
      <c r="I16" s="39" t="n"/>
      <c r="J16" s="39" t="n"/>
      <c r="K16" s="39" t="n"/>
      <c r="L16" s="26" t="n"/>
      <c r="M16" s="17">
        <f>IFERROR(E16/G16,"")</f>
        <v/>
      </c>
      <c r="N16" s="33">
        <f>IFERROR(H16/F16,"")</f>
        <v/>
      </c>
      <c r="O16" s="33">
        <f>IFERROR(I16/H16,"")</f>
        <v/>
      </c>
      <c r="P16" s="17">
        <f>IFERROR(E16/I16,"")</f>
        <v/>
      </c>
      <c r="Q16" s="17">
        <f>IFERROR(E16/K16,"")</f>
        <v/>
      </c>
      <c r="R16" s="40">
        <f>IFERROR(L16/E16,"")</f>
        <v/>
      </c>
      <c r="S16" s="39" t="n"/>
      <c r="T16" s="39" t="n"/>
      <c r="U16" s="39" t="n"/>
      <c r="V16" s="41" t="inlineStr">
        <is>
          <t>Review</t>
        </is>
      </c>
    </row>
    <row r="17">
      <c r="B17" s="31" t="n">
        <v>12</v>
      </c>
      <c r="C17" s="38">
        <f>Overview!$C$18+(12-1)*7</f>
        <v/>
      </c>
      <c r="D17" s="25" t="n">
        <v>2500</v>
      </c>
      <c r="E17" s="26" t="n"/>
      <c r="F17" s="39" t="n"/>
      <c r="G17" s="39" t="n"/>
      <c r="H17" s="39" t="n"/>
      <c r="I17" s="39" t="n"/>
      <c r="J17" s="39" t="n"/>
      <c r="K17" s="39" t="n"/>
      <c r="L17" s="26" t="n"/>
      <c r="M17" s="25">
        <f>IFERROR(E17/G17,"")</f>
        <v/>
      </c>
      <c r="N17" s="32">
        <f>IFERROR(H17/F17,"")</f>
        <v/>
      </c>
      <c r="O17" s="32">
        <f>IFERROR(I17/H17,"")</f>
        <v/>
      </c>
      <c r="P17" s="25">
        <f>IFERROR(E17/I17,"")</f>
        <v/>
      </c>
      <c r="Q17" s="25">
        <f>IFERROR(E17/K17,"")</f>
        <v/>
      </c>
      <c r="R17" s="42">
        <f>IFERROR(L17/E17,"")</f>
        <v/>
      </c>
      <c r="S17" s="39" t="n"/>
      <c r="T17" s="39" t="n"/>
      <c r="U17" s="39" t="n"/>
      <c r="V17" s="41" t="inlineStr">
        <is>
          <t>Review</t>
        </is>
      </c>
    </row>
    <row r="18">
      <c r="B18" s="16" t="n">
        <v>13</v>
      </c>
      <c r="C18" s="37">
        <f>Overview!$C$18+(13-1)*7</f>
        <v/>
      </c>
      <c r="D18" s="17" t="n">
        <v>700</v>
      </c>
      <c r="E18" s="26" t="n"/>
      <c r="F18" s="39" t="n"/>
      <c r="G18" s="39" t="n"/>
      <c r="H18" s="39" t="n"/>
      <c r="I18" s="39" t="n"/>
      <c r="J18" s="39" t="n"/>
      <c r="K18" s="39" t="n"/>
      <c r="L18" s="26" t="n"/>
      <c r="M18" s="17">
        <f>IFERROR(E18/G18,"")</f>
        <v/>
      </c>
      <c r="N18" s="33">
        <f>IFERROR(H18/F18,"")</f>
        <v/>
      </c>
      <c r="O18" s="33">
        <f>IFERROR(I18/H18,"")</f>
        <v/>
      </c>
      <c r="P18" s="17">
        <f>IFERROR(E18/I18,"")</f>
        <v/>
      </c>
      <c r="Q18" s="17">
        <f>IFERROR(E18/K18,"")</f>
        <v/>
      </c>
      <c r="R18" s="40">
        <f>IFERROR(L18/E18,"")</f>
        <v/>
      </c>
      <c r="S18" s="39" t="n"/>
      <c r="T18" s="39" t="n"/>
      <c r="U18" s="39" t="n"/>
      <c r="V18" s="41" t="inlineStr">
        <is>
          <t>Review</t>
        </is>
      </c>
    </row>
    <row r="19"/>
    <row r="20">
      <c r="B20" s="28" t="inlineStr">
        <is>
          <t>TOTAL / BLENDED</t>
        </is>
      </c>
      <c r="C20" s="28" t="n"/>
      <c r="D20" s="29">
        <f>SUM(D6:D18)</f>
        <v/>
      </c>
      <c r="E20" s="29">
        <f>SUM(E6:E18)</f>
        <v/>
      </c>
      <c r="F20" s="43">
        <f>SUM(F6:F18)</f>
        <v/>
      </c>
      <c r="G20" s="43">
        <f>SUM(G6:G18)</f>
        <v/>
      </c>
      <c r="H20" s="43">
        <f>SUM(H6:H18)</f>
        <v/>
      </c>
      <c r="I20" s="43">
        <f>SUM(I6:I18)</f>
        <v/>
      </c>
      <c r="J20" s="43">
        <f>SUM(J6:J18)</f>
        <v/>
      </c>
      <c r="K20" s="43">
        <f>SUM(K6:K18)</f>
        <v/>
      </c>
      <c r="L20" s="29">
        <f>SUM(L6:L18)</f>
        <v/>
      </c>
      <c r="M20" s="29">
        <f>IFERROR(E20/G20,"")</f>
        <v/>
      </c>
      <c r="N20" s="44">
        <f>IFERROR(H20/F20,"")</f>
        <v/>
      </c>
      <c r="O20" s="44">
        <f>IFERROR(I20/H20,"")</f>
        <v/>
      </c>
      <c r="P20" s="29">
        <f>IFERROR(E20/I20,"")</f>
        <v/>
      </c>
      <c r="Q20" s="29">
        <f>IFERROR(E20/K20,"")</f>
        <v/>
      </c>
      <c r="R20" s="45">
        <f>IFERROR(L20/E20,"")</f>
        <v/>
      </c>
      <c r="S20" s="43">
        <f>SUM(S6:S18)</f>
        <v/>
      </c>
      <c r="T20" s="43">
        <f>SUM(T6:T18)</f>
        <v/>
      </c>
      <c r="U20" s="43">
        <f>SUM(U6:U18)</f>
        <v/>
      </c>
      <c r="V20" s="28" t="n"/>
    </row>
    <row r="21"/>
    <row r="22"/>
    <row r="23" ht="23" customHeight="1">
      <c r="B23" s="3" t="inlineStr">
        <is>
          <t>DECISION THRESHOLDS</t>
        </is>
      </c>
    </row>
    <row r="24" ht="32" customHeight="1">
      <c r="B24" s="7" t="inlineStr">
        <is>
          <t>Stop immediately</t>
        </is>
      </c>
      <c r="C24" s="46" t="inlineStr">
        <is>
          <t>Uncertain legal/platform eligibility; unapproved claim; sensitive-data failure; capacity failure; account warning or serious complaint.</t>
        </is>
      </c>
    </row>
    <row r="25" ht="32" customHeight="1">
      <c r="B25" s="7" t="inlineStr">
        <is>
          <t>Fix before spend</t>
        </is>
      </c>
      <c r="C25" s="46" t="inlineStr">
        <is>
          <t>Unreliable tracking; response over one business day; majority irrelevant enquiries after a meaningful sample; mismatched ad and landing page.</t>
        </is>
      </c>
    </row>
    <row r="26" ht="32" customHeight="1">
      <c r="B26" s="7" t="inlineStr">
        <is>
          <t>Hold steady</t>
        </is>
      </c>
      <c r="C26" s="46" t="inlineStr">
        <is>
          <t>Qualified enquiries exist, but sample size or economics are not stable.</t>
        </is>
      </c>
    </row>
    <row r="27" ht="32" customHeight="1">
      <c r="B27" s="7" t="inlineStr">
        <is>
          <t>Scale carefully</t>
        </is>
      </c>
      <c r="C27" s="46" t="inlineStr">
        <is>
          <t>At least four weeks of reliable data; affordable qualified enquiries; economics and capacity work; no unresolved compliance event.</t>
        </is>
      </c>
    </row>
  </sheetData>
  <autoFilter ref="B5:V18"/>
  <mergeCells count="7">
    <mergeCell ref="B23:U23"/>
    <mergeCell ref="C27:O27"/>
    <mergeCell ref="C25:O25"/>
    <mergeCell ref="C26:O26"/>
    <mergeCell ref="B2:U2"/>
    <mergeCell ref="B3:U3"/>
    <mergeCell ref="C24:O24"/>
  </mergeCells>
  <conditionalFormatting sqref="V6:V18">
    <cfRule type="expression" priority="1" dxfId="0">
      <formula>$V6="Complete"</formula>
    </cfRule>
    <cfRule type="expression" priority="2" dxfId="0">
      <formula>$V6="Approved"</formula>
    </cfRule>
    <cfRule type="expression" priority="3" dxfId="1">
      <formula>$V6="Blocked"</formula>
    </cfRule>
    <cfRule type="expression" priority="4" dxfId="1">
      <formula>$V6="Rejected"</formula>
    </cfRule>
    <cfRule type="expression" priority="5" dxfId="2">
      <formula>$V6="In progress"</formula>
    </cfRule>
    <cfRule type="expression" priority="6" dxfId="2">
      <formula>$V6="Review"</formula>
    </cfRule>
  </conditionalFormatting>
  <dataValidations count="1">
    <dataValidation sqref="V6:V18" showDropDown="0" showInputMessage="0" showErrorMessage="0" allowBlank="1" errorTitle="Invalid status" error="Choose a value from the list." type="list">
      <formula1>"Review,Hold,Fix,Stop,Scale carefully"</formula1>
    </dataValidation>
  </dataValidations>
  <pageMargins left="0.75" right="0.75" top="1" bottom="1" header="0.5" footer="0.5"/>
  <pageSetup fitToHeight="0" fitToWidth="1"/>
  <headerFooter>
    <oddHeader/>
    <oddFooter>&amp;CGeorge 90-Day Marketing Plan | Confidential working document&amp;RPage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5"/>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46" customWidth="1" min="3" max="3"/>
    <col width="36" customWidth="1" min="4" max="4"/>
    <col width="24" customWidth="1" min="5" max="5"/>
    <col width="22" customWidth="1" min="6" max="6"/>
    <col width="28" customWidth="1" min="7" max="7"/>
    <col width="20" customWidth="1" min="8" max="8"/>
    <col width="18" customWidth="1" min="9" max="9"/>
    <col width="16" customWidth="1" min="10" max="10"/>
    <col width="16" customWidth="1" min="11" max="11"/>
    <col width="34" customWidth="1" min="12" max="12"/>
  </cols>
  <sheetData>
    <row r="1" ht="10" customHeight="1"/>
    <row r="2" ht="30" customHeight="1">
      <c r="B2" s="1" t="inlineStr">
        <is>
          <t>Marketing Claim Register</t>
        </is>
      </c>
    </row>
    <row r="3" ht="28" customHeight="1">
      <c r="B3" s="2" t="inlineStr">
        <is>
          <t>Record every material claim before it appears in an ad, post, page, email, script, message, or partner pack.</t>
        </is>
      </c>
    </row>
    <row r="4"/>
    <row r="5" ht="32" customHeight="1">
      <c r="B5" s="15" t="inlineStr">
        <is>
          <t>Claim ID</t>
        </is>
      </c>
      <c r="C5" s="15" t="inlineStr">
        <is>
          <t>Proposed claim</t>
        </is>
      </c>
      <c r="D5" s="15" t="inlineStr">
        <is>
          <t>Source / evidence</t>
        </is>
      </c>
      <c r="E5" s="15" t="inlineStr">
        <is>
          <t>Evidence level</t>
        </is>
      </c>
      <c r="F5" s="15" t="inlineStr">
        <is>
          <t>Model scope</t>
        </is>
      </c>
      <c r="G5" s="15" t="inlineStr">
        <is>
          <t>Audience / placement</t>
        </is>
      </c>
      <c r="H5" s="15" t="inlineStr">
        <is>
          <t>Approval needed</t>
        </is>
      </c>
      <c r="I5" s="15" t="inlineStr">
        <is>
          <t>Approver</t>
        </is>
      </c>
      <c r="J5" s="15" t="inlineStr">
        <is>
          <t>Status</t>
        </is>
      </c>
      <c r="K5" s="15" t="inlineStr">
        <is>
          <t>Last review</t>
        </is>
      </c>
      <c r="L5" s="15" t="inlineStr">
        <is>
          <t>Notes / restrictions</t>
        </is>
      </c>
    </row>
    <row r="6" ht="54" customHeight="1">
      <c r="B6" s="16" t="inlineStr">
        <is>
          <t>CLM-001</t>
        </is>
      </c>
      <c r="C6" s="41" t="inlineStr">
        <is>
          <t>George clearly states the selected operating model and intended next step.</t>
        </is>
      </c>
      <c r="D6" s="41" t="inlineStr">
        <is>
          <t>Approved business brief and operating records</t>
        </is>
      </c>
      <c r="E6" s="41" t="inlineStr">
        <is>
          <t>Business fact</t>
        </is>
      </c>
      <c r="F6" s="41" t="inlineStr">
        <is>
          <t>TO CONFIRM</t>
        </is>
      </c>
      <c r="G6" s="41" t="inlineStr">
        <is>
          <t>All public pages and profiles</t>
        </is>
      </c>
      <c r="H6" s="41" t="inlineStr">
        <is>
          <t>Business + professional review</t>
        </is>
      </c>
      <c r="I6" s="27" t="inlineStr">
        <is>
          <t>Assign</t>
        </is>
      </c>
      <c r="J6" s="27" t="inlineStr">
        <is>
          <t>Review</t>
        </is>
      </c>
      <c r="K6" s="47" t="n"/>
      <c r="L6" s="41" t="inlineStr">
        <is>
          <t>Replace model placeholder before publication.</t>
        </is>
      </c>
    </row>
    <row r="7" ht="54" customHeight="1">
      <c r="B7" s="31" t="inlineStr">
        <is>
          <t>CLM-002</t>
        </is>
      </c>
      <c r="C7" s="41" t="inlineStr">
        <is>
          <t>George explains the documentation or professional process customers should expect.</t>
        </is>
      </c>
      <c r="D7" s="41" t="inlineStr">
        <is>
          <t>Approved process map and current records</t>
        </is>
      </c>
      <c r="E7" s="41" t="inlineStr">
        <is>
          <t>Business fact</t>
        </is>
      </c>
      <c r="F7" s="41" t="inlineStr">
        <is>
          <t>TO CONFIRM</t>
        </is>
      </c>
      <c r="G7" s="41" t="inlineStr">
        <is>
          <t>Website, social, partner pack</t>
        </is>
      </c>
      <c r="H7" s="41" t="inlineStr">
        <is>
          <t>Business + professional review</t>
        </is>
      </c>
      <c r="I7" s="27" t="inlineStr">
        <is>
          <t>Assign</t>
        </is>
      </c>
      <c r="J7" s="27" t="inlineStr">
        <is>
          <t>Review</t>
        </is>
      </c>
      <c r="K7" s="47" t="n"/>
      <c r="L7" s="41" t="inlineStr">
        <is>
          <t>Describe only controls that actually exist.</t>
        </is>
      </c>
    </row>
    <row r="8" ht="54" customHeight="1">
      <c r="B8" s="16" t="inlineStr">
        <is>
          <t>CLM-003</t>
        </is>
      </c>
      <c r="C8" s="41" t="inlineStr">
        <is>
          <t>George distinguishes evidence levels and the limits of available evidence.</t>
        </is>
      </c>
      <c r="D8" s="41" t="inlineStr">
        <is>
          <t>Cited authoritative or peer-reviewed sources</t>
        </is>
      </c>
      <c r="E8" s="41" t="inlineStr">
        <is>
          <t>Evidence education</t>
        </is>
      </c>
      <c r="F8" s="41" t="inlineStr">
        <is>
          <t>Education</t>
        </is>
      </c>
      <c r="G8" s="41" t="inlineStr">
        <is>
          <t>Evidence library and educational content</t>
        </is>
      </c>
      <c r="H8" s="41" t="inlineStr">
        <is>
          <t>Source + claim review</t>
        </is>
      </c>
      <c r="I8" s="27" t="inlineStr">
        <is>
          <t>Assign</t>
        </is>
      </c>
      <c r="J8" s="27" t="inlineStr">
        <is>
          <t>Review</t>
        </is>
      </c>
      <c r="K8" s="47" t="n"/>
      <c r="L8" s="41" t="inlineStr">
        <is>
          <t>Do not convert source findings into product efficacy claims.</t>
        </is>
      </c>
    </row>
    <row r="9" ht="54" customHeight="1">
      <c r="B9" s="31" t="inlineStr">
        <is>
          <t>CLM-004</t>
        </is>
      </c>
      <c r="C9" s="41" t="n"/>
      <c r="D9" s="41" t="n"/>
      <c r="E9" s="41" t="n"/>
      <c r="F9" s="41" t="n"/>
      <c r="G9" s="41" t="n"/>
      <c r="H9" s="41" t="n"/>
      <c r="I9" s="27" t="n"/>
      <c r="J9" s="27" t="inlineStr">
        <is>
          <t>Draft</t>
        </is>
      </c>
      <c r="K9" s="47" t="n"/>
      <c r="L9" s="41" t="n"/>
    </row>
    <row r="10" ht="54" customHeight="1">
      <c r="B10" s="16" t="inlineStr">
        <is>
          <t>CLM-005</t>
        </is>
      </c>
      <c r="C10" s="41" t="n"/>
      <c r="D10" s="41" t="n"/>
      <c r="E10" s="41" t="n"/>
      <c r="F10" s="41" t="n"/>
      <c r="G10" s="41" t="n"/>
      <c r="H10" s="41" t="n"/>
      <c r="I10" s="27" t="n"/>
      <c r="J10" s="27" t="inlineStr">
        <is>
          <t>Draft</t>
        </is>
      </c>
      <c r="K10" s="47" t="n"/>
      <c r="L10" s="41" t="n"/>
    </row>
    <row r="11" ht="54" customHeight="1">
      <c r="B11" s="31" t="inlineStr">
        <is>
          <t>CLM-006</t>
        </is>
      </c>
      <c r="C11" s="41" t="n"/>
      <c r="D11" s="41" t="n"/>
      <c r="E11" s="41" t="n"/>
      <c r="F11" s="41" t="n"/>
      <c r="G11" s="41" t="n"/>
      <c r="H11" s="41" t="n"/>
      <c r="I11" s="27" t="n"/>
      <c r="J11" s="27" t="inlineStr">
        <is>
          <t>Draft</t>
        </is>
      </c>
      <c r="K11" s="47" t="n"/>
      <c r="L11" s="41" t="n"/>
    </row>
    <row r="12" ht="54" customHeight="1">
      <c r="B12" s="16" t="inlineStr">
        <is>
          <t>CLM-007</t>
        </is>
      </c>
      <c r="C12" s="41" t="n"/>
      <c r="D12" s="41" t="n"/>
      <c r="E12" s="41" t="n"/>
      <c r="F12" s="41" t="n"/>
      <c r="G12" s="41" t="n"/>
      <c r="H12" s="41" t="n"/>
      <c r="I12" s="27" t="n"/>
      <c r="J12" s="27" t="inlineStr">
        <is>
          <t>Draft</t>
        </is>
      </c>
      <c r="K12" s="47" t="n"/>
      <c r="L12" s="41" t="n"/>
    </row>
    <row r="13" ht="54" customHeight="1">
      <c r="B13" s="31" t="inlineStr">
        <is>
          <t>CLM-008</t>
        </is>
      </c>
      <c r="C13" s="41" t="n"/>
      <c r="D13" s="41" t="n"/>
      <c r="E13" s="41" t="n"/>
      <c r="F13" s="41" t="n"/>
      <c r="G13" s="41" t="n"/>
      <c r="H13" s="41" t="n"/>
      <c r="I13" s="27" t="n"/>
      <c r="J13" s="27" t="inlineStr">
        <is>
          <t>Draft</t>
        </is>
      </c>
      <c r="K13" s="47" t="n"/>
      <c r="L13" s="41" t="n"/>
    </row>
    <row r="14" ht="54" customHeight="1">
      <c r="B14" s="16" t="inlineStr">
        <is>
          <t>CLM-009</t>
        </is>
      </c>
      <c r="C14" s="41" t="n"/>
      <c r="D14" s="41" t="n"/>
      <c r="E14" s="41" t="n"/>
      <c r="F14" s="41" t="n"/>
      <c r="G14" s="41" t="n"/>
      <c r="H14" s="41" t="n"/>
      <c r="I14" s="27" t="n"/>
      <c r="J14" s="27" t="inlineStr">
        <is>
          <t>Draft</t>
        </is>
      </c>
      <c r="K14" s="47" t="n"/>
      <c r="L14" s="41" t="n"/>
    </row>
    <row r="15" ht="54" customHeight="1">
      <c r="B15" s="31" t="inlineStr">
        <is>
          <t>CLM-010</t>
        </is>
      </c>
      <c r="C15" s="41" t="n"/>
      <c r="D15" s="41" t="n"/>
      <c r="E15" s="41" t="n"/>
      <c r="F15" s="41" t="n"/>
      <c r="G15" s="41" t="n"/>
      <c r="H15" s="41" t="n"/>
      <c r="I15" s="27" t="n"/>
      <c r="J15" s="27" t="inlineStr">
        <is>
          <t>Draft</t>
        </is>
      </c>
      <c r="K15" s="47" t="n"/>
      <c r="L15" s="41" t="n"/>
    </row>
    <row r="16" ht="54" customHeight="1">
      <c r="B16" s="16" t="inlineStr">
        <is>
          <t>CLM-011</t>
        </is>
      </c>
      <c r="C16" s="41" t="n"/>
      <c r="D16" s="41" t="n"/>
      <c r="E16" s="41" t="n"/>
      <c r="F16" s="41" t="n"/>
      <c r="G16" s="41" t="n"/>
      <c r="H16" s="41" t="n"/>
      <c r="I16" s="27" t="n"/>
      <c r="J16" s="27" t="inlineStr">
        <is>
          <t>Draft</t>
        </is>
      </c>
      <c r="K16" s="47" t="n"/>
      <c r="L16" s="41" t="n"/>
    </row>
    <row r="17" ht="54" customHeight="1">
      <c r="B17" s="31" t="inlineStr">
        <is>
          <t>CLM-012</t>
        </is>
      </c>
      <c r="C17" s="41" t="n"/>
      <c r="D17" s="41" t="n"/>
      <c r="E17" s="41" t="n"/>
      <c r="F17" s="41" t="n"/>
      <c r="G17" s="41" t="n"/>
      <c r="H17" s="41" t="n"/>
      <c r="I17" s="27" t="n"/>
      <c r="J17" s="27" t="inlineStr">
        <is>
          <t>Draft</t>
        </is>
      </c>
      <c r="K17" s="47" t="n"/>
      <c r="L17" s="41" t="n"/>
    </row>
    <row r="18" ht="54" customHeight="1">
      <c r="B18" s="16" t="inlineStr">
        <is>
          <t>CLM-013</t>
        </is>
      </c>
      <c r="C18" s="41" t="n"/>
      <c r="D18" s="41" t="n"/>
      <c r="E18" s="41" t="n"/>
      <c r="F18" s="41" t="n"/>
      <c r="G18" s="41" t="n"/>
      <c r="H18" s="41" t="n"/>
      <c r="I18" s="27" t="n"/>
      <c r="J18" s="27" t="inlineStr">
        <is>
          <t>Draft</t>
        </is>
      </c>
      <c r="K18" s="47" t="n"/>
      <c r="L18" s="41" t="n"/>
    </row>
    <row r="19" ht="54" customHeight="1">
      <c r="B19" s="31" t="inlineStr">
        <is>
          <t>CLM-014</t>
        </is>
      </c>
      <c r="C19" s="41" t="n"/>
      <c r="D19" s="41" t="n"/>
      <c r="E19" s="41" t="n"/>
      <c r="F19" s="41" t="n"/>
      <c r="G19" s="41" t="n"/>
      <c r="H19" s="41" t="n"/>
      <c r="I19" s="27" t="n"/>
      <c r="J19" s="27" t="inlineStr">
        <is>
          <t>Draft</t>
        </is>
      </c>
      <c r="K19" s="47" t="n"/>
      <c r="L19" s="41" t="n"/>
    </row>
    <row r="20" ht="54" customHeight="1">
      <c r="B20" s="16" t="inlineStr">
        <is>
          <t>CLM-015</t>
        </is>
      </c>
      <c r="C20" s="41" t="n"/>
      <c r="D20" s="41" t="n"/>
      <c r="E20" s="41" t="n"/>
      <c r="F20" s="41" t="n"/>
      <c r="G20" s="41" t="n"/>
      <c r="H20" s="41" t="n"/>
      <c r="I20" s="27" t="n"/>
      <c r="J20" s="27" t="inlineStr">
        <is>
          <t>Draft</t>
        </is>
      </c>
      <c r="K20" s="47" t="n"/>
      <c r="L20" s="41" t="n"/>
    </row>
    <row r="21" ht="54" customHeight="1">
      <c r="B21" s="31" t="inlineStr">
        <is>
          <t>CLM-016</t>
        </is>
      </c>
      <c r="C21" s="41" t="n"/>
      <c r="D21" s="41" t="n"/>
      <c r="E21" s="41" t="n"/>
      <c r="F21" s="41" t="n"/>
      <c r="G21" s="41" t="n"/>
      <c r="H21" s="41" t="n"/>
      <c r="I21" s="27" t="n"/>
      <c r="J21" s="27" t="inlineStr">
        <is>
          <t>Draft</t>
        </is>
      </c>
      <c r="K21" s="47" t="n"/>
      <c r="L21" s="41" t="n"/>
    </row>
    <row r="22" ht="54" customHeight="1">
      <c r="B22" s="16" t="inlineStr">
        <is>
          <t>CLM-017</t>
        </is>
      </c>
      <c r="C22" s="41" t="n"/>
      <c r="D22" s="41" t="n"/>
      <c r="E22" s="41" t="n"/>
      <c r="F22" s="41" t="n"/>
      <c r="G22" s="41" t="n"/>
      <c r="H22" s="41" t="n"/>
      <c r="I22" s="27" t="n"/>
      <c r="J22" s="27" t="inlineStr">
        <is>
          <t>Draft</t>
        </is>
      </c>
      <c r="K22" s="47" t="n"/>
      <c r="L22" s="41" t="n"/>
    </row>
    <row r="23" ht="54" customHeight="1">
      <c r="B23" s="31" t="inlineStr">
        <is>
          <t>CLM-018</t>
        </is>
      </c>
      <c r="C23" s="41" t="n"/>
      <c r="D23" s="41" t="n"/>
      <c r="E23" s="41" t="n"/>
      <c r="F23" s="41" t="n"/>
      <c r="G23" s="41" t="n"/>
      <c r="H23" s="41" t="n"/>
      <c r="I23" s="27" t="n"/>
      <c r="J23" s="27" t="inlineStr">
        <is>
          <t>Draft</t>
        </is>
      </c>
      <c r="K23" s="47" t="n"/>
      <c r="L23" s="41" t="n"/>
    </row>
    <row r="24" ht="54" customHeight="1">
      <c r="B24" s="16" t="inlineStr">
        <is>
          <t>CLM-019</t>
        </is>
      </c>
      <c r="C24" s="41" t="n"/>
      <c r="D24" s="41" t="n"/>
      <c r="E24" s="41" t="n"/>
      <c r="F24" s="41" t="n"/>
      <c r="G24" s="41" t="n"/>
      <c r="H24" s="41" t="n"/>
      <c r="I24" s="27" t="n"/>
      <c r="J24" s="27" t="inlineStr">
        <is>
          <t>Draft</t>
        </is>
      </c>
      <c r="K24" s="47" t="n"/>
      <c r="L24" s="41" t="n"/>
    </row>
    <row r="25" ht="54" customHeight="1">
      <c r="B25" s="31" t="inlineStr">
        <is>
          <t>CLM-020</t>
        </is>
      </c>
      <c r="C25" s="41" t="n"/>
      <c r="D25" s="41" t="n"/>
      <c r="E25" s="41" t="n"/>
      <c r="F25" s="41" t="n"/>
      <c r="G25" s="41" t="n"/>
      <c r="H25" s="41" t="n"/>
      <c r="I25" s="27" t="n"/>
      <c r="J25" s="27" t="inlineStr">
        <is>
          <t>Draft</t>
        </is>
      </c>
      <c r="K25" s="47" t="n"/>
      <c r="L25" s="41" t="n"/>
    </row>
  </sheetData>
  <autoFilter ref="B5:L25"/>
  <mergeCells count="2">
    <mergeCell ref="B2:L2"/>
    <mergeCell ref="B3:L3"/>
  </mergeCells>
  <conditionalFormatting sqref="J6:J25">
    <cfRule type="expression" priority="1" dxfId="0">
      <formula>$J6="Complete"</formula>
    </cfRule>
    <cfRule type="expression" priority="2" dxfId="0">
      <formula>$J6="Approved"</formula>
    </cfRule>
    <cfRule type="expression" priority="3" dxfId="1">
      <formula>$J6="Blocked"</formula>
    </cfRule>
    <cfRule type="expression" priority="4" dxfId="1">
      <formula>$J6="Rejected"</formula>
    </cfRule>
    <cfRule type="expression" priority="5" dxfId="2">
      <formula>$J6="In progress"</formula>
    </cfRule>
    <cfRule type="expression" priority="6" dxfId="2">
      <formula>$J6="Review"</formula>
    </cfRule>
  </conditionalFormatting>
  <dataValidations count="2">
    <dataValidation sqref="J6:J25" showDropDown="0" showInputMessage="0" showErrorMessage="0" allowBlank="1" errorTitle="Invalid status" error="Choose a value from the list." type="list">
      <formula1>"Draft,Review,Approved,Rejected,Retired"</formula1>
    </dataValidation>
    <dataValidation sqref="F6:F25" showDropDown="0" showInputMessage="0" showErrorMessage="0" allowBlank="1" errorTitle="Invalid status" error="Choose a value from the list." type="list">
      <formula1>"TO CONFIRM,Clinic-led care,Research supply,Cosmetics,Supplements,Education"</formula1>
    </dataValidation>
  </dataValidations>
  <pageMargins left="0.75" right="0.75" top="1" bottom="1" header="0.5" footer="0.5"/>
  <pageSetup fitToHeight="0" fitToWidth="1"/>
  <headerFooter>
    <oddHeader/>
    <oddFooter>&amp;CGeorge 90-Day Marketing Plan | Confidential working document&amp;RPage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39"/>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30" customWidth="1" min="3" max="3"/>
    <col width="18" customWidth="1" min="4" max="4"/>
    <col width="18" customWidth="1" min="5" max="5"/>
    <col width="36" customWidth="1" min="6" max="6"/>
    <col width="18" customWidth="1" min="7" max="7"/>
    <col width="18" customWidth="1" min="8" max="8"/>
    <col width="58" customWidth="1" min="9" max="9"/>
  </cols>
  <sheetData>
    <row r="1" ht="10" customHeight="1"/>
    <row r="2" ht="30" customHeight="1">
      <c r="B2" s="1" t="inlineStr">
        <is>
          <t>Assumptions, Launch Gates, and Sources</t>
        </is>
      </c>
    </row>
    <row r="3" ht="28" customHeight="1">
      <c r="B3" s="2" t="inlineStr">
        <is>
          <t>Replace assumptions with evidence in Week 1. A blocked critical gate prevents the affected activity from launching.</t>
        </is>
      </c>
    </row>
    <row r="4"/>
    <row r="5" ht="23" customHeight="1">
      <c r="B5" s="3" t="inlineStr">
        <is>
          <t>OPEN BUSINESS ASSUMPTIONS</t>
        </is>
      </c>
    </row>
    <row r="6" ht="32" customHeight="1">
      <c r="B6" s="15" t="inlineStr">
        <is>
          <t>Decision</t>
        </is>
      </c>
      <c r="C6" s="15" t="inlineStr">
        <is>
          <t>Working assumption</t>
        </is>
      </c>
      <c r="D6" s="15" t="inlineStr">
        <is>
          <t>Status</t>
        </is>
      </c>
      <c r="E6" s="15" t="inlineStr">
        <is>
          <t>Owner</t>
        </is>
      </c>
      <c r="F6" s="15" t="inlineStr">
        <is>
          <t>Evidence required</t>
        </is>
      </c>
      <c r="G6" s="15" t="inlineStr">
        <is>
          <t>Due</t>
        </is>
      </c>
      <c r="H6" s="15" t="inlineStr">
        <is>
          <t>Impact if unresolved</t>
        </is>
      </c>
      <c r="I6" s="15" t="inlineStr">
        <is>
          <t>Notes</t>
        </is>
      </c>
    </row>
    <row r="7">
      <c r="B7" s="24" t="inlineStr">
        <is>
          <t>Country and launch area</t>
        </is>
      </c>
      <c r="C7" s="24" t="inlineStr">
        <is>
          <t>South Africa, English-first</t>
        </is>
      </c>
      <c r="D7" s="27" t="inlineStr">
        <is>
          <t>Review</t>
        </is>
      </c>
      <c r="E7" s="27" t="inlineStr">
        <is>
          <t>George</t>
        </is>
      </c>
      <c r="F7" s="24" t="inlineStr">
        <is>
          <t>Service/fulfilment area and customer profile</t>
        </is>
      </c>
      <c r="G7" s="31" t="inlineStr">
        <is>
          <t>Week 1</t>
        </is>
      </c>
      <c r="H7" s="24" t="inlineStr">
        <is>
          <t>Medium</t>
        </is>
      </c>
      <c r="I7" s="41" t="inlineStr"/>
    </row>
    <row r="8">
      <c r="B8" s="18" t="inlineStr">
        <is>
          <t>Operating model</t>
        </is>
      </c>
      <c r="C8" s="18" t="inlineStr">
        <is>
          <t>TO CONFIRM</t>
        </is>
      </c>
      <c r="D8" s="27" t="inlineStr">
        <is>
          <t>Blocked</t>
        </is>
      </c>
      <c r="E8" s="27" t="inlineStr">
        <is>
          <t>George</t>
        </is>
      </c>
      <c r="F8" s="18" t="inlineStr">
        <is>
          <t>Approved legal and operational model</t>
        </is>
      </c>
      <c r="G8" s="16" t="inlineStr">
        <is>
          <t>Week 1</t>
        </is>
      </c>
      <c r="H8" s="18" t="inlineStr">
        <is>
          <t>Critical</t>
        </is>
      </c>
      <c r="I8" s="41" t="inlineStr">
        <is>
          <t>Do not mix clinic, research, cosmetic, supplement, or education funnels.</t>
        </is>
      </c>
    </row>
    <row r="9">
      <c r="B9" s="24" t="inlineStr">
        <is>
          <t>Product/service status</t>
        </is>
      </c>
      <c r="C9" s="24" t="inlineStr">
        <is>
          <t>Unknown</t>
        </is>
      </c>
      <c r="D9" s="27" t="inlineStr">
        <is>
          <t>Blocked</t>
        </is>
      </c>
      <c r="E9" s="27" t="inlineStr">
        <is>
          <t>George</t>
        </is>
      </c>
      <c r="F9" s="24" t="inlineStr">
        <is>
          <t>Registration/licensing/status documentation</t>
        </is>
      </c>
      <c r="G9" s="31" t="inlineStr">
        <is>
          <t>Week 1</t>
        </is>
      </c>
      <c r="H9" s="24" t="inlineStr">
        <is>
          <t>Critical</t>
        </is>
      </c>
      <c r="I9" s="41" t="inlineStr"/>
    </row>
    <row r="10">
      <c r="B10" s="18" t="inlineStr">
        <is>
          <t>Primary audience</t>
        </is>
      </c>
      <c r="C10" s="18" t="inlineStr">
        <is>
          <t>Adults seeking credible local information</t>
        </is>
      </c>
      <c r="D10" s="27" t="inlineStr">
        <is>
          <t>Review</t>
        </is>
      </c>
      <c r="E10" s="27" t="inlineStr">
        <is>
          <t>George</t>
        </is>
      </c>
      <c r="F10" s="18" t="inlineStr">
        <is>
          <t>Defined segment and exclusions</t>
        </is>
      </c>
      <c r="G10" s="16" t="inlineStr">
        <is>
          <t>Week 1</t>
        </is>
      </c>
      <c r="H10" s="18" t="inlineStr">
        <is>
          <t>High</t>
        </is>
      </c>
      <c r="I10" s="41" t="inlineStr"/>
    </row>
    <row r="11">
      <c r="B11" s="24" t="inlineStr">
        <is>
          <t>Primary CTA</t>
        </is>
      </c>
      <c r="C11" s="24" t="inlineStr">
        <is>
          <t>WhatsApp / web enquiry</t>
        </is>
      </c>
      <c r="D11" s="27" t="inlineStr">
        <is>
          <t>Review</t>
        </is>
      </c>
      <c r="E11" s="27" t="inlineStr">
        <is>
          <t>George</t>
        </is>
      </c>
      <c r="F11" s="24" t="inlineStr">
        <is>
          <t>Approved response and qualification flow</t>
        </is>
      </c>
      <c r="G11" s="31" t="inlineStr">
        <is>
          <t>Week 1</t>
        </is>
      </c>
      <c r="H11" s="24" t="inlineStr">
        <is>
          <t>High</t>
        </is>
      </c>
      <c r="I11" s="41" t="inlineStr"/>
    </row>
    <row r="12">
      <c r="B12" s="18" t="inlineStr">
        <is>
          <t>Stock or service capacity</t>
        </is>
      </c>
      <c r="C12" s="18" t="inlineStr">
        <is>
          <t>Limited</t>
        </is>
      </c>
      <c r="D12" s="27" t="inlineStr">
        <is>
          <t>Blocked</t>
        </is>
      </c>
      <c r="E12" s="27" t="inlineStr">
        <is>
          <t>Operations</t>
        </is>
      </c>
      <c r="F12" s="18" t="inlineStr">
        <is>
          <t>Weekly capacity by offer and geography</t>
        </is>
      </c>
      <c r="G12" s="16" t="inlineStr">
        <is>
          <t>Week 1</t>
        </is>
      </c>
      <c r="H12" s="18" t="inlineStr">
        <is>
          <t>Critical</t>
        </is>
      </c>
      <c r="I12" s="41" t="inlineStr"/>
    </row>
    <row r="13">
      <c r="B13" s="24" t="inlineStr">
        <is>
          <t>Unit economics</t>
        </is>
      </c>
      <c r="C13" s="24" t="inlineStr">
        <is>
          <t>Unknown</t>
        </is>
      </c>
      <c r="D13" s="27" t="inlineStr">
        <is>
          <t>Blocked</t>
        </is>
      </c>
      <c r="E13" s="27" t="inlineStr">
        <is>
          <t>Finance/George</t>
        </is>
      </c>
      <c r="F13" s="24" t="inlineStr">
        <is>
          <t>Gross profit, fulfilment, payment cost, contribution target</t>
        </is>
      </c>
      <c r="G13" s="31" t="inlineStr">
        <is>
          <t>Week 1</t>
        </is>
      </c>
      <c r="H13" s="24" t="inlineStr">
        <is>
          <t>Critical</t>
        </is>
      </c>
      <c r="I13" s="41" t="inlineStr">
        <is>
          <t>Enter values on Overview.</t>
        </is>
      </c>
    </row>
    <row r="14">
      <c r="B14" s="18" t="inlineStr">
        <is>
          <t>Website and analytics</t>
        </is>
      </c>
      <c r="C14" s="18" t="inlineStr">
        <is>
          <t>Needs audit</t>
        </is>
      </c>
      <c r="D14" s="27" t="inlineStr">
        <is>
          <t>Review</t>
        </is>
      </c>
      <c r="E14" s="27" t="inlineStr">
        <is>
          <t>Technical owner</t>
        </is>
      </c>
      <c r="F14" s="18" t="inlineStr">
        <is>
          <t>Domain access, page inventory, event tests</t>
        </is>
      </c>
      <c r="G14" s="16" t="inlineStr">
        <is>
          <t>Week 2</t>
        </is>
      </c>
      <c r="H14" s="18" t="inlineStr">
        <is>
          <t>High</t>
        </is>
      </c>
      <c r="I14" s="41" t="inlineStr"/>
    </row>
    <row r="15"/>
    <row r="16"/>
    <row r="17" ht="23" customHeight="1">
      <c r="B17" s="3" t="inlineStr">
        <is>
          <t>CRITICAL LAUNCH GATES</t>
        </is>
      </c>
    </row>
    <row r="18" ht="32" customHeight="1">
      <c r="B18" s="15" t="inlineStr">
        <is>
          <t>Gate</t>
        </is>
      </c>
      <c r="C18" s="15" t="inlineStr">
        <is>
          <t>Requirement</t>
        </is>
      </c>
      <c r="D18" s="15" t="inlineStr">
        <is>
          <t>Status</t>
        </is>
      </c>
      <c r="E18" s="15" t="inlineStr">
        <is>
          <t>Owner</t>
        </is>
      </c>
      <c r="F18" s="15" t="inlineStr">
        <is>
          <t>Evidence</t>
        </is>
      </c>
      <c r="G18" s="15" t="inlineStr">
        <is>
          <t>Review date</t>
        </is>
      </c>
      <c r="H18" s="15" t="inlineStr">
        <is>
          <t>Applies to</t>
        </is>
      </c>
      <c r="I18" s="15" t="inlineStr">
        <is>
          <t>Notes</t>
        </is>
      </c>
    </row>
    <row r="19">
      <c r="B19" s="24" t="inlineStr">
        <is>
          <t>G1 Operating model</t>
        </is>
      </c>
      <c r="C19" s="24" t="inlineStr">
        <is>
          <t>One coherent model selected and documented</t>
        </is>
      </c>
      <c r="D19" s="27" t="inlineStr">
        <is>
          <t>Blocked</t>
        </is>
      </c>
      <c r="E19" s="27" t="inlineStr">
        <is>
          <t>George</t>
        </is>
      </c>
      <c r="F19" s="41" t="inlineStr"/>
      <c r="G19" s="27" t="inlineStr"/>
      <c r="H19" s="24" t="inlineStr">
        <is>
          <t>All marketing</t>
        </is>
      </c>
      <c r="I19" s="41" t="inlineStr"/>
    </row>
    <row r="20">
      <c r="B20" s="18" t="inlineStr">
        <is>
          <t>G2 Product/service status</t>
        </is>
      </c>
      <c r="C20" s="18" t="inlineStr">
        <is>
          <t>Status and lawful scope verified by appropriate professional</t>
        </is>
      </c>
      <c r="D20" s="27" t="inlineStr">
        <is>
          <t>Blocked</t>
        </is>
      </c>
      <c r="E20" s="27" t="inlineStr">
        <is>
          <t>Assign</t>
        </is>
      </c>
      <c r="F20" s="41" t="inlineStr"/>
      <c r="G20" s="27" t="inlineStr"/>
      <c r="H20" s="18" t="inlineStr">
        <is>
          <t>Claims and conversion</t>
        </is>
      </c>
      <c r="I20" s="41" t="inlineStr"/>
    </row>
    <row r="21">
      <c r="B21" s="24" t="inlineStr">
        <is>
          <t>G3 Claim register</t>
        </is>
      </c>
      <c r="C21" s="24" t="inlineStr">
        <is>
          <t>Every material claim has source, scope, approver, and status</t>
        </is>
      </c>
      <c r="D21" s="27" t="inlineStr">
        <is>
          <t>Blocked</t>
        </is>
      </c>
      <c r="E21" s="27" t="inlineStr">
        <is>
          <t>Assign</t>
        </is>
      </c>
      <c r="F21" s="41" t="inlineStr"/>
      <c r="G21" s="27" t="inlineStr"/>
      <c r="H21" s="24" t="inlineStr">
        <is>
          <t>All public assets</t>
        </is>
      </c>
      <c r="I21" s="41" t="inlineStr"/>
    </row>
    <row r="22">
      <c r="B22" s="18" t="inlineStr">
        <is>
          <t>G4 Website match</t>
        </is>
      </c>
      <c r="C22" s="18" t="inlineStr">
        <is>
          <t>Destination, offer, CTA, and privacy wording match the approved model</t>
        </is>
      </c>
      <c r="D22" s="27" t="inlineStr">
        <is>
          <t>Blocked</t>
        </is>
      </c>
      <c r="E22" s="27" t="inlineStr">
        <is>
          <t>Assign</t>
        </is>
      </c>
      <c r="F22" s="41" t="inlineStr"/>
      <c r="G22" s="27" t="inlineStr"/>
      <c r="H22" s="18" t="inlineStr">
        <is>
          <t>Website and paid media</t>
        </is>
      </c>
      <c r="I22" s="41" t="inlineStr"/>
    </row>
    <row r="23">
      <c r="B23" s="24" t="inlineStr">
        <is>
          <t>G5 Tracking</t>
        </is>
      </c>
      <c r="C23" s="24" t="inlineStr">
        <is>
          <t>Events, source, outcome, and consent records tested</t>
        </is>
      </c>
      <c r="D23" s="27" t="inlineStr">
        <is>
          <t>Blocked</t>
        </is>
      </c>
      <c r="E23" s="27" t="inlineStr">
        <is>
          <t>Assign</t>
        </is>
      </c>
      <c r="F23" s="41" t="inlineStr"/>
      <c r="G23" s="27" t="inlineStr"/>
      <c r="H23" s="24" t="inlineStr">
        <is>
          <t>Campaign launch</t>
        </is>
      </c>
      <c r="I23" s="41" t="inlineStr"/>
    </row>
    <row r="24">
      <c r="B24" s="18" t="inlineStr">
        <is>
          <t>G6 Lead response</t>
        </is>
      </c>
      <c r="C24" s="18" t="inlineStr">
        <is>
          <t>Approved script, response owner, and escalation path exist</t>
        </is>
      </c>
      <c r="D24" s="27" t="inlineStr">
        <is>
          <t>Blocked</t>
        </is>
      </c>
      <c r="E24" s="27" t="inlineStr">
        <is>
          <t>Assign</t>
        </is>
      </c>
      <c r="F24" s="41" t="inlineStr"/>
      <c r="G24" s="27" t="inlineStr"/>
      <c r="H24" s="18" t="inlineStr">
        <is>
          <t>Enquiry generation</t>
        </is>
      </c>
      <c r="I24" s="41" t="inlineStr"/>
    </row>
    <row r="25">
      <c r="B25" s="24" t="inlineStr">
        <is>
          <t>G7 Capacity</t>
        </is>
      </c>
      <c r="C25" s="24" t="inlineStr">
        <is>
          <t>Stock/service capacity and response standards support demand</t>
        </is>
      </c>
      <c r="D25" s="27" t="inlineStr">
        <is>
          <t>Blocked</t>
        </is>
      </c>
      <c r="E25" s="27" t="inlineStr">
        <is>
          <t>Operations</t>
        </is>
      </c>
      <c r="F25" s="41" t="inlineStr"/>
      <c r="G25" s="27" t="inlineStr"/>
      <c r="H25" s="24" t="inlineStr">
        <is>
          <t>Spend release</t>
        </is>
      </c>
      <c r="I25" s="41" t="inlineStr"/>
    </row>
    <row r="26">
      <c r="B26" s="18" t="inlineStr">
        <is>
          <t>G8 Google eligibility</t>
        </is>
      </c>
      <c r="C26" s="18" t="inlineStr">
        <is>
          <t>Applicable licensing/accreditation and Google certification confirmed</t>
        </is>
      </c>
      <c r="D26" s="27" t="inlineStr">
        <is>
          <t>Review</t>
        </is>
      </c>
      <c r="E26" s="27" t="inlineStr">
        <is>
          <t>Assign</t>
        </is>
      </c>
      <c r="F26" s="41" t="inlineStr"/>
      <c r="G26" s="27" t="inlineStr"/>
      <c r="H26" s="18" t="inlineStr">
        <is>
          <t>Google paid media</t>
        </is>
      </c>
      <c r="I26" s="41" t="inlineStr">
        <is>
          <t>Prescription drugs may not appear in South Africa ads or landing pages under the cited policy.</t>
        </is>
      </c>
    </row>
    <row r="27">
      <c r="B27" s="24" t="inlineStr">
        <is>
          <t>G9 Meta eligibility</t>
        </is>
      </c>
      <c r="C27" s="24" t="inlineStr">
        <is>
          <t>Exact offer independently assessed against current policy</t>
        </is>
      </c>
      <c r="D27" s="27" t="inlineStr">
        <is>
          <t>Blocked</t>
        </is>
      </c>
      <c r="E27" s="27" t="inlineStr">
        <is>
          <t>Assign</t>
        </is>
      </c>
      <c r="F27" s="41" t="inlineStr"/>
      <c r="G27" s="27" t="inlineStr"/>
      <c r="H27" s="24" t="inlineStr">
        <is>
          <t>Meta paid media</t>
        </is>
      </c>
      <c r="I27" s="41" t="inlineStr">
        <is>
          <t>Base plan excludes direct prescription-drug promotion for South Africa.</t>
        </is>
      </c>
    </row>
    <row r="28">
      <c r="B28" s="18" t="inlineStr">
        <is>
          <t>G10 TikTok eligibility</t>
        </is>
      </c>
      <c r="C28" s="18" t="inlineStr">
        <is>
          <t>Exact offer independently assessed against current policy</t>
        </is>
      </c>
      <c r="D28" s="27" t="inlineStr">
        <is>
          <t>Blocked</t>
        </is>
      </c>
      <c r="E28" s="27" t="inlineStr">
        <is>
          <t>Assign</t>
        </is>
      </c>
      <c r="F28" s="41" t="inlineStr"/>
      <c r="G28" s="27" t="inlineStr"/>
      <c r="H28" s="18" t="inlineStr">
        <is>
          <t>TikTok paid media</t>
        </is>
      </c>
      <c r="I28" s="41" t="inlineStr">
        <is>
          <t>Base plan excludes paid promotion; prescription medicines are listed as not allowed in South Africa.</t>
        </is>
      </c>
    </row>
    <row r="29">
      <c r="B29" s="24" t="inlineStr">
        <is>
          <t>G11 POPIA/direct marketing</t>
        </is>
      </c>
      <c r="C29" s="24" t="inlineStr">
        <is>
          <t>Consent, purpose, source, retention, opt-out, and suppression process documented</t>
        </is>
      </c>
      <c r="D29" s="27" t="inlineStr">
        <is>
          <t>Blocked</t>
        </is>
      </c>
      <c r="E29" s="27" t="inlineStr">
        <is>
          <t>Assign</t>
        </is>
      </c>
      <c r="F29" s="41" t="inlineStr"/>
      <c r="G29" s="27" t="inlineStr"/>
      <c r="H29" s="24" t="inlineStr">
        <is>
          <t>Email and WhatsApp</t>
        </is>
      </c>
      <c r="I29" s="41" t="inlineStr"/>
    </row>
    <row r="30">
      <c r="B30" s="18" t="inlineStr">
        <is>
          <t>G12 Economics</t>
        </is>
      </c>
      <c r="C30" s="18" t="inlineStr">
        <is>
          <t>Affordable CPL/CAC thresholds entered and approved</t>
        </is>
      </c>
      <c r="D30" s="27" t="inlineStr">
        <is>
          <t>Blocked</t>
        </is>
      </c>
      <c r="E30" s="27" t="inlineStr">
        <is>
          <t>Finance/George</t>
        </is>
      </c>
      <c r="F30" s="41" t="inlineStr"/>
      <c r="G30" s="27" t="inlineStr"/>
      <c r="H30" s="18" t="inlineStr">
        <is>
          <t>Media scale</t>
        </is>
      </c>
      <c r="I30" s="41" t="inlineStr"/>
    </row>
    <row r="31"/>
    <row r="32"/>
    <row r="33" ht="23" customHeight="1">
      <c r="B33" s="3" t="inlineStr">
        <is>
          <t>OFFICIAL SOURCES</t>
        </is>
      </c>
    </row>
    <row r="34" ht="32" customHeight="1">
      <c r="B34" s="15" t="inlineStr">
        <is>
          <t>Source</t>
        </is>
      </c>
      <c r="C34" s="15" t="inlineStr">
        <is>
          <t>URL</t>
        </is>
      </c>
      <c r="D34" s="15" t="inlineStr">
        <is>
          <t>Planning use</t>
        </is>
      </c>
      <c r="E34" s="15" t="inlineStr">
        <is>
          <t>Accessed</t>
        </is>
      </c>
    </row>
    <row r="35" ht="42" customHeight="1">
      <c r="B35" s="24" t="inlineStr">
        <is>
          <t>SAHPRA: Guidelines for Advertisement of Medicines and Health Products</t>
        </is>
      </c>
      <c r="C35" s="48" t="inlineStr">
        <is>
          <t>https://www.sahpra.org.za/wp-content/uploads/2022/06/SAHPGL-INSP-RC-07-Guidelines-for-Advertisement-of-Medicines-and-Health-Products.pdf</t>
        </is>
      </c>
      <c r="D35" s="24" t="inlineStr">
        <is>
          <t>Registration, accuracy, evidence, and advertising controls</t>
        </is>
      </c>
      <c r="E35" s="38" t="n">
        <v>46252</v>
      </c>
    </row>
    <row r="36" ht="42" customHeight="1">
      <c r="B36" s="18" t="inlineStr">
        <is>
          <t>Google Ads: Healthcare and medicines — South Africa</t>
        </is>
      </c>
      <c r="C36" s="49" t="inlineStr">
        <is>
          <t>https://support.google.com/adspolicy/answer/176031?hl=en</t>
        </is>
      </c>
      <c r="D36" s="18" t="inlineStr">
        <is>
          <t>Online pharmacy/telemedicine and certification restrictions</t>
        </is>
      </c>
      <c r="E36" s="37" t="n">
        <v>46252</v>
      </c>
    </row>
    <row r="37" ht="42" customHeight="1">
      <c r="B37" s="24" t="inlineStr">
        <is>
          <t>Meta: Drugs and Pharmaceuticals</t>
        </is>
      </c>
      <c r="C37" s="48" t="inlineStr">
        <is>
          <t>https://transparency.meta.com/policies/ad-standards/restricted-goods-services/drugs-pharmaceuticals/</t>
        </is>
      </c>
      <c r="D37" s="24" t="inlineStr">
        <is>
          <t>Country, authorization, and prescription-drug advertising limits</t>
        </is>
      </c>
      <c r="E37" s="38" t="n">
        <v>46252</v>
      </c>
    </row>
    <row r="38" ht="42" customHeight="1">
      <c r="B38" s="18" t="inlineStr">
        <is>
          <t>TikTok: Healthcare and Pharmaceuticals</t>
        </is>
      </c>
      <c r="C38" s="49" t="inlineStr">
        <is>
          <t>https://ads.tiktok.com/help/article/tiktok-ads-policy-healthcare-pharmaceuticals</t>
        </is>
      </c>
      <c r="D38" s="18" t="inlineStr">
        <is>
          <t>South Africa healthcare-category restrictions</t>
        </is>
      </c>
      <c r="E38" s="37" t="n">
        <v>46252</v>
      </c>
    </row>
    <row r="39" ht="42" customHeight="1">
      <c r="B39" s="24" t="inlineStr">
        <is>
          <t>Information Regulator: Guidance notes</t>
        </is>
      </c>
      <c r="C39" s="48" t="inlineStr">
        <is>
          <t>https://inforegulator.org.za/guidance-notes/</t>
        </is>
      </c>
      <c r="D39" s="24" t="inlineStr">
        <is>
          <t>Direct marketing and POPIA governance</t>
        </is>
      </c>
      <c r="E39" s="38" t="n">
        <v>46252</v>
      </c>
    </row>
  </sheetData>
  <mergeCells count="5">
    <mergeCell ref="B33:I33"/>
    <mergeCell ref="B2:I2"/>
    <mergeCell ref="B3:I3"/>
    <mergeCell ref="B5:I5"/>
    <mergeCell ref="B17:I17"/>
  </mergeCells>
  <conditionalFormatting sqref="D7:D14">
    <cfRule type="expression" priority="1" dxfId="0">
      <formula>$D7="Complete"</formula>
    </cfRule>
    <cfRule type="expression" priority="2" dxfId="0">
      <formula>$D7="Approved"</formula>
    </cfRule>
    <cfRule type="expression" priority="3" dxfId="1">
      <formula>$D7="Blocked"</formula>
    </cfRule>
    <cfRule type="expression" priority="4" dxfId="1">
      <formula>$D7="Rejected"</formula>
    </cfRule>
    <cfRule type="expression" priority="5" dxfId="2">
      <formula>$D7="In progress"</formula>
    </cfRule>
    <cfRule type="expression" priority="6" dxfId="2">
      <formula>$D7="Review"</formula>
    </cfRule>
  </conditionalFormatting>
  <conditionalFormatting sqref="D19:D30">
    <cfRule type="expression" priority="7" dxfId="0">
      <formula>$D19="Complete"</formula>
    </cfRule>
    <cfRule type="expression" priority="8" dxfId="0">
      <formula>$D19="Approved"</formula>
    </cfRule>
    <cfRule type="expression" priority="9" dxfId="1">
      <formula>$D19="Blocked"</formula>
    </cfRule>
    <cfRule type="expression" priority="10" dxfId="1">
      <formula>$D19="Rejected"</formula>
    </cfRule>
    <cfRule type="expression" priority="11" dxfId="2">
      <formula>$D19="In progress"</formula>
    </cfRule>
    <cfRule type="expression" priority="12" dxfId="2">
      <formula>$D19="Review"</formula>
    </cfRule>
  </conditionalFormatting>
  <dataValidations count="2">
    <dataValidation sqref="D7:D14" showDropDown="0" showInputMessage="0" showErrorMessage="0" allowBlank="1" errorTitle="Invalid status" error="Choose a value from the list." type="list">
      <formula1>"Review,Confirmed,Blocked,Not applicable"</formula1>
    </dataValidation>
    <dataValidation sqref="D19:D30" showDropDown="0" showInputMessage="0" showErrorMessage="0" allowBlank="1" errorTitle="Invalid status" error="Choose a value from the list." type="list">
      <formula1>"Blocked,Review,Approved,Not applicable"</formula1>
    </dataValidation>
  </dataValidations>
  <hyperlinks>
    <hyperlink xmlns:r="http://schemas.openxmlformats.org/officeDocument/2006/relationships" ref="C35" r:id="rId1"/>
    <hyperlink xmlns:r="http://schemas.openxmlformats.org/officeDocument/2006/relationships" ref="C36" r:id="rId2"/>
    <hyperlink xmlns:r="http://schemas.openxmlformats.org/officeDocument/2006/relationships" ref="C37" r:id="rId3"/>
    <hyperlink xmlns:r="http://schemas.openxmlformats.org/officeDocument/2006/relationships" ref="C38" r:id="rId4"/>
    <hyperlink xmlns:r="http://schemas.openxmlformats.org/officeDocument/2006/relationships" ref="C39" r:id="rId5"/>
  </hyperlinks>
  <pageMargins left="0.75" right="0.75" top="1" bottom="1" header="0.5" footer="0.5"/>
  <pageSetup fitToHeight="0" fitToWidth="1"/>
  <headerFooter>
    <oddHeader/>
    <oddFooter>&amp;CGeorge 90-Day Marketing Plan | Confidential working document&amp;RPage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 AI</dc:creator>
  <dc:title xmlns:dc="http://purl.org/dc/elements/1.1/">George 90-Day Marketing Budget and Action Workbook</dc:title>
  <dc:subject xmlns:dc="http://purl.org/dc/elements/1.1/">South Africa peptide-business marketing plan, budget, execution, claims, and KPI tracking</dc:subject>
  <dcterms:created xmlns:dcterms="http://purl.org/dc/terms/" xmlns:xsi="http://www.w3.org/2001/XMLSchema-instance" xsi:type="dcterms:W3CDTF">2026-08-18T20:56:55Z</dcterms:created>
  <dcterms:modified xmlns:dcterms="http://purl.org/dc/terms/" xmlns:xsi="http://www.w3.org/2001/XMLSchema-instance" xsi:type="dcterms:W3CDTF">2026-08-18T20:56:57Z</dcterms:modified>
</cp:coreProperties>
</file>