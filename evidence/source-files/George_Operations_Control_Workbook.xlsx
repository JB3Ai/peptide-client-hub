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comments/comment1.xml" ContentType="application/vnd.openxmlformats-officedocument.spreadsheetml.comments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comments/comment2.xml" ContentType="application/vnd.openxmlformats-officedocument.spreadsheetml.comments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verview" sheetId="1" state="visible" r:id="rId1"/>
    <sheet xmlns:r="http://schemas.openxmlformats.org/officeDocument/2006/relationships" name="SKU Gate" sheetId="2" state="visible" r:id="rId2"/>
    <sheet xmlns:r="http://schemas.openxmlformats.org/officeDocument/2006/relationships" name="Supplier ASL" sheetId="3" state="visible" r:id="rId3"/>
    <sheet xmlns:r="http://schemas.openxmlformats.org/officeDocument/2006/relationships" name="Landed Cost" sheetId="4" state="visible" r:id="rId4"/>
    <sheet xmlns:r="http://schemas.openxmlformats.org/officeDocument/2006/relationships" name="Inventory Planner" sheetId="5" state="visible" r:id="rId5"/>
    <sheet xmlns:r="http://schemas.openxmlformats.org/officeDocument/2006/relationships" name="Stock Ledger" sheetId="6" state="visible" r:id="rId6"/>
    <sheet xmlns:r="http://schemas.openxmlformats.org/officeDocument/2006/relationships" name="SOP and KPI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R #,##0.00"/>
    <numFmt numFmtId="165" formatCode="0.0%"/>
    <numFmt numFmtId="166" formatCode="yyyy-mm-dd"/>
  </numFmts>
  <fonts count="10">
    <font>
      <name val="Calibri"/>
      <family val="2"/>
      <color theme="1"/>
      <sz val="11"/>
      <scheme val="minor"/>
    </font>
    <font>
      <name val="Georgia"/>
      <b val="1"/>
      <color rgb="001A5F5F"/>
      <sz val="20"/>
    </font>
    <font>
      <name val="Calibri"/>
      <i val="1"/>
      <color rgb="00666666"/>
      <sz val="9"/>
    </font>
    <font>
      <name val="Georgia"/>
      <b val="1"/>
      <color rgb="001A5F5F"/>
      <sz val="13"/>
    </font>
    <font>
      <name val="Georgia"/>
      <b val="1"/>
      <color rgb="00FFFFFF"/>
      <sz val="10"/>
    </font>
    <font>
      <name val="Calibri"/>
      <color rgb="00000000"/>
      <sz val="10"/>
    </font>
    <font>
      <name val="Calibri"/>
      <color rgb="001A5F5F"/>
      <sz val="11"/>
      <u val="single"/>
    </font>
    <font>
      <name val="Calibri"/>
      <b val="1"/>
      <color rgb="00173F3F"/>
      <sz val="11"/>
    </font>
    <font>
      <color rgb="001A5F5F"/>
      <u val="single"/>
    </font>
    <font>
      <b val="1"/>
    </font>
  </fonts>
  <fills count="6">
    <fill>
      <patternFill/>
    </fill>
    <fill>
      <patternFill patternType="gray125"/>
    </fill>
    <fill>
      <patternFill patternType="solid">
        <fgColor rgb="001A5F5F"/>
      </patternFill>
    </fill>
    <fill>
      <patternFill patternType="solid">
        <fgColor rgb="00D3E5E5"/>
      </patternFill>
    </fill>
    <fill>
      <patternFill patternType="solid">
        <fgColor rgb="00FFFDE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E2E3"/>
      </left>
      <right style="thin">
        <color rgb="00D9E2E3"/>
      </right>
      <top style="thin">
        <color rgb="00D9E2E3"/>
      </top>
      <bottom style="thin">
        <color rgb="00D9E2E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vertical="top" wrapText="1"/>
    </xf>
    <xf numFmtId="0" fontId="6" fillId="0" borderId="0" pivotButton="0" quotePrefix="0" xfId="0"/>
    <xf numFmtId="0" fontId="0" fillId="0" borderId="0" applyAlignment="1" pivotButton="0" quotePrefix="0" xfId="0">
      <alignment wrapText="1"/>
    </xf>
    <xf numFmtId="0" fontId="7" fillId="3" borderId="0" applyAlignment="1" pivotButton="0" quotePrefix="0" xfId="0">
      <alignment vertical="center" wrapText="1"/>
    </xf>
    <xf numFmtId="0" fontId="8" fillId="0" borderId="0" pivotButton="0" quotePrefix="0" xfId="0"/>
    <xf numFmtId="0" fontId="5" fillId="4" borderId="1" applyAlignment="1" pivotButton="0" quotePrefix="0" xfId="0">
      <alignment vertical="top" wrapText="1"/>
    </xf>
    <xf numFmtId="0" fontId="5" fillId="5" borderId="1" applyAlignment="1" pivotButton="0" quotePrefix="0" xfId="0">
      <alignment vertical="top" wrapText="1"/>
    </xf>
    <xf numFmtId="3" fontId="5" fillId="4" borderId="1" applyAlignment="1" pivotButton="0" quotePrefix="0" xfId="0">
      <alignment vertical="top" wrapText="1"/>
    </xf>
    <xf numFmtId="164" fontId="5" fillId="4" borderId="1" applyAlignment="1" pivotButton="0" quotePrefix="0" xfId="0">
      <alignment vertical="top" wrapText="1"/>
    </xf>
    <xf numFmtId="164" fontId="5" fillId="0" borderId="1" applyAlignment="1" pivotButton="0" quotePrefix="0" xfId="0">
      <alignment vertical="top" wrapText="1"/>
    </xf>
    <xf numFmtId="165" fontId="5" fillId="4" borderId="1" applyAlignment="1" pivotButton="0" quotePrefix="0" xfId="0">
      <alignment vertical="top" wrapText="1"/>
    </xf>
    <xf numFmtId="4" fontId="5" fillId="4" borderId="1" applyAlignment="1" pivotButton="0" quotePrefix="0" xfId="0">
      <alignment vertical="top" wrapText="1"/>
    </xf>
    <xf numFmtId="4" fontId="5" fillId="0" borderId="1" applyAlignment="1" pivotButton="0" quotePrefix="0" xfId="0">
      <alignment vertical="top" wrapText="1"/>
    </xf>
    <xf numFmtId="166" fontId="5" fillId="4" borderId="1" applyAlignment="1" pivotButton="0" quotePrefix="0" xfId="0">
      <alignment vertical="top" wrapText="1"/>
    </xf>
    <xf numFmtId="1" fontId="5" fillId="4" borderId="1" applyAlignment="1" pivotButton="0" quotePrefix="0" xfId="0">
      <alignment vertical="top" wrapText="1"/>
    </xf>
    <xf numFmtId="166" fontId="5" fillId="0" borderId="1" applyAlignment="1" pivotButton="0" quotePrefix="0" xfId="0">
      <alignment vertical="top" wrapText="1"/>
    </xf>
    <xf numFmtId="1" fontId="5" fillId="0" borderId="1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FFCCBC"/>
        </patternFill>
      </fill>
    </dxf>
    <dxf>
      <fill>
        <patternFill patternType="solid">
          <fgColor rgb="00E8F5E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comments/comment1.xml><?xml version="1.0" encoding="utf-8"?>
<comments xmlns="http://schemas.openxmlformats.org/spreadsheetml/2006/main">
  <authors>
    <author>Manus AI</author>
  </authors>
  <commentList>
    <comment ref="N7" authorId="0" shapeId="0">
      <text>
        <t>Safety stock uses combined independent demand and lead-time variability. Use consistent periods and validate assumptions for intermittent demand.</t>
      </text>
    </comment>
    <comment ref="O7" authorId="0" shapeId="0">
      <text>
        <t>ROP = average demand × average lead time + safety stock.</t>
      </text>
    </comment>
  </commentList>
</comments>
</file>

<file path=xl/comments/comment2.xml><?xml version="1.0" encoding="utf-8"?>
<comments xmlns="http://schemas.openxmlformats.org/spreadsheetml/2006/main">
  <authors>
    <author>Manus AI</author>
  </authors>
  <commentList>
    <comment ref="R7" authorId="0" shapeId="0">
      <text>
        <t>Last-ship date = expiry/retest date minus channel/customer minimum remaining-life requirement.</t>
      </text>
    </comment>
  </commentList>
</comments>
</file>

<file path=xl/tables/table1.xml><?xml version="1.0" encoding="utf-8"?>
<table xmlns="http://schemas.openxmlformats.org/spreadsheetml/2006/main" id="1" name="OverviewGates" displayName="OverviewGates" ref="B7:D14" headerRowCount="1">
  <autoFilter ref="B7:D14"/>
  <tableColumns count="3">
    <tableColumn id="2" name="Gate"/>
    <tableColumn id="3" name="Decision"/>
    <tableColumn id="4" name="Pass criter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SkuGateTable" displayName="SkuGateTable" ref="B6:O36" headerRowCount="1">
  <autoFilter ref="B6:O36"/>
  <tableColumns count="14">
    <tableColumn id="2" name="SKU ID"/>
    <tableColumn id="3" name="Exact product / form"/>
    <tableColumn id="4" name="Proposed channel"/>
    <tableColumn id="5" name="Intended user"/>
    <tableColumn id="6" name="Claims reviewed?"/>
    <tableColumn id="7" name="Classification status"/>
    <tableColumn id="8" name="Registration / authorisation verified?"/>
    <tableColumn id="9" name="Establishment / permit scope verified?"/>
    <tableColumn id="10" name="Storage / transport defined?"/>
    <tableColumn id="11" name="Supplier-site-product approved?"/>
    <tableColumn id="12" name="Customs path reviewed?"/>
    <tableColumn id="13" name="Final gate"/>
    <tableColumn id="14" name="Owner"/>
    <tableColumn id="15" name="Evidence link / decision 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SupplierASLTable" displayName="SupplierASLTable" ref="B6:U36" headerRowCount="1">
  <autoFilter ref="B6:U36"/>
  <tableColumns count="20">
    <tableColumn id="2" name="ASL ID"/>
    <tableColumn id="3" name="Legal supplier"/>
    <tableColumn id="4" name="Actual manufacturer"/>
    <tableColumn id="5" name="Manufacturing site"/>
    <tableColumn id="6" name="Product / grade"/>
    <tableColumn id="7" name="Channel"/>
    <tableColumn id="8" name="Corporate verified?"/>
    <tableColumn id="9" name="Licence / GMP scope verified?"/>
    <tableColumn id="10" name="Manufacturer disclosed?"/>
    <tableColumn id="11" name="Audit risk"/>
    <tableColumn id="12" name="Audit / CAPA status"/>
    <tableColumn id="13" name="Quality agreement?"/>
    <tableColumn id="14" name="CoA authenticated?"/>
    <tableColumn id="15" name="Independent test status"/>
    <tableColumn id="16" name="Lane approved?"/>
    <tableColumn id="17" name="Continuity / alternate"/>
    <tableColumn id="18" name="Approval status"/>
    <tableColumn id="19" name="Next review"/>
    <tableColumn id="20" name="Quality owner"/>
    <tableColumn id="21" name="Notes / evidence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LandedCostTable" displayName="LandedCostTable" ref="B6:AB26" headerRowCount="1">
  <autoFilter ref="B6:AB26"/>
  <tableColumns count="27">
    <tableColumn id="2" name="Scenario / Quote ID"/>
    <tableColumn id="3" name="SKU"/>
    <tableColumn id="4" name="Supplier"/>
    <tableColumn id="5" name="Quantity (units)"/>
    <tableColumn id="6" name="Foreign unit price"/>
    <tableColumn id="7" name="FX ZAR / currency"/>
    <tableColumn id="8" name="Product cost ZAR"/>
    <tableColumn id="9" name="Qualification + testing"/>
    <tableColumn id="10" name="Freight"/>
    <tableColumn id="11" name="Validated packaging + loggers"/>
    <tableColumn id="12" name="Insurance"/>
    <tableColumn id="13" name="Export documents"/>
    <tableColumn id="14" name="Broker + clearance + handling"/>
    <tableColumn id="15" name="Other customs value additions"/>
    <tableColumn id="16" name="Customs value before duty"/>
    <tableColumn id="17" name="Duty rate"/>
    <tableColumn id="18" name="Duty"/>
    <tableColumn id="19" name="Import VAT input"/>
    <tableColumn id="20" name="Demurrage / controlled hold"/>
    <tableColumn id="21" name="Payment / FX fees"/>
    <tableColumn id="22" name="Quarantine carrying cost"/>
    <tableColumn id="23" name="Expected rejection / expiry allowance"/>
    <tableColumn id="24" name="Total landed cost"/>
    <tableColumn id="25" name="Contingency rate"/>
    <tableColumn id="26" name="Contingency-adjusted cost"/>
    <tableColumn id="27" name="Adjusted cost / unit"/>
    <tableColumn id="28" name="Decision note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ventoryPlannerTable" displayName="InventoryPlannerTable" ref="B6:X36" headerRowCount="1">
  <autoFilter ref="B6:X36"/>
  <tableColumns count="23">
    <tableColumn id="2" name="SKU"/>
    <tableColumn id="3" name="Channel"/>
    <tableColumn id="4" name="Average demand / period"/>
    <tableColumn id="5" name="Demand or forecast-error SD"/>
    <tableColumn id="6" name="Average lead time (periods)"/>
    <tableColumn id="7" name="Lead-time SD"/>
    <tableColumn id="8" name="Service factor z"/>
    <tableColumn id="9" name="Released on hand"/>
    <tableColumn id="10" name="Confirmed open orders"/>
    <tableColumn id="11" name="Allocated / backorders"/>
    <tableColumn id="12" name="Blocked / unsaleable"/>
    <tableColumn id="13" name="Inventory position"/>
    <tableColumn id="14" name="Safety stock"/>
    <tableColumn id="15" name="Reorder point"/>
    <tableColumn id="16" name="Gap to ROP"/>
    <tableColumn id="17" name="MOQ"/>
    <tableColumn id="18" name="Order multiple"/>
    <tableColumn id="19" name="Suggested order"/>
    <tableColumn id="20" name="Unit landed cost"/>
    <tableColumn id="21" name="Suggested PO value"/>
    <tableColumn id="22" name="Usable shelf-life cap (units)"/>
    <tableColumn id="23" name="Final approved order"/>
    <tableColumn id="24" name="Approval not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StockLedgerTable" displayName="StockLedgerTable" ref="B6:X56" headerRowCount="1">
  <autoFilter ref="B6:X56"/>
  <tableColumns count="23">
    <tableColumn id="2" name="Transaction / Lot ID"/>
    <tableColumn id="3" name="SKU"/>
    <tableColumn id="4" name="Manufacturer lot"/>
    <tableColumn id="5" name="Supplier lot"/>
    <tableColumn id="6" name="Receipt date"/>
    <tableColumn id="7" name="Expiry / retest date"/>
    <tableColumn id="8" name="Status"/>
    <tableColumn id="9" name="Quantity"/>
    <tableColumn id="10" name="UOM"/>
    <tableColumn id="11" name="Site"/>
    <tableColumn id="12" name="Zone"/>
    <tableColumn id="13" name="Bin"/>
    <tableColumn id="14" name="Storage class"/>
    <tableColumn id="15" name="Logger / excursion ID"/>
    <tableColumn id="16" name="Release / hold decision date"/>
    <tableColumn id="17" name="Minimum remaining life (days)"/>
    <tableColumn id="18" name="Last-ship date"/>
    <tableColumn id="19" name="Days to last ship"/>
    <tableColumn id="20" name="Near-expiry action"/>
    <tableColumn id="21" name="PO / GRN"/>
    <tableColumn id="22" name="Customer / shipment link"/>
    <tableColumn id="23" name="Owner"/>
    <tableColumn id="24" name="Evidence / note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SOPRegister" displayName="SOPRegister" ref="B6:H31" headerRowCount="1">
  <autoFilter ref="B6:H31"/>
  <tableColumns count="7">
    <tableColumn id="2" name="Group"/>
    <tableColumn id="3" name="SOP / control"/>
    <tableColumn id="4" name="Owner"/>
    <tableColumn id="5" name="Due date"/>
    <tableColumn id="6" name="Status"/>
    <tableColumn id="7" name="Training complete?"/>
    <tableColumn id="8" name="Evidence / next step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KPIRegister" displayName="KPIRegister" ref="B35:H50" headerRowCount="1">
  <autoFilter ref="B35:H50"/>
  <tableColumns count="7">
    <tableColumn id="2" name="Area"/>
    <tableColumn id="3" name="KPI"/>
    <tableColumn id="4" name="Unit"/>
    <tableColumn id="5" name="Initial target"/>
    <tableColumn id="6" name="Frequency"/>
    <tableColumn id="7" name="Current result"/>
    <tableColumn id="8" name="Status /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SKU Gate'!B2" TargetMode="External" Id="rId1"/><Relationship Type="http://schemas.openxmlformats.org/officeDocument/2006/relationships/hyperlink" Target="#'Supplier ASL'!B2" TargetMode="External" Id="rId2"/><Relationship Type="http://schemas.openxmlformats.org/officeDocument/2006/relationships/hyperlink" Target="#'Landed Cost'!B2" TargetMode="External" Id="rId3"/><Relationship Type="http://schemas.openxmlformats.org/officeDocument/2006/relationships/hyperlink" Target="#'Inventory Planner'!B2" TargetMode="External" Id="rId4"/><Relationship Type="http://schemas.openxmlformats.org/officeDocument/2006/relationships/hyperlink" Target="#'Stock Ledger'!B2" TargetMode="External" Id="rId5"/><Relationship Type="http://schemas.openxmlformats.org/officeDocument/2006/relationships/hyperlink" Target="#'SOP and KPI'!B2" TargetMode="External" Id="rId6"/><Relationship Type="http://schemas.openxmlformats.org/officeDocument/2006/relationships/hyperlink" Target="https://www.sahpra.org.za/peptide-products-public-information/" TargetMode="External" Id="rId7"/><Relationship Type="http://schemas.openxmlformats.org/officeDocument/2006/relationships/hyperlink" Target="https://www.sahpra.org.za/pharma-licencing/" TargetMode="External" Id="rId8"/><Relationship Type="http://schemas.openxmlformats.org/officeDocument/2006/relationships/hyperlink" Target="https://www.sahpra.org.za/wp-content/uploads/2022/09/SAHPGL-INSP-03_v5-Guideline-on-South-African-Good-Wholesaling-Practice-for-Wholesalers.pdf" TargetMode="External" Id="rId9"/><Relationship Type="http://schemas.openxmlformats.org/officeDocument/2006/relationships/hyperlink" Target="https://www.sars.gov.za/customs-and-excise/import-export-and-transit/imports/" TargetMode="External" Id="rId10"/><Relationship Type="http://schemas.openxmlformats.org/officeDocument/2006/relationships/hyperlink" Target="https://cdn.who.int/media/docs/default-source/medicines/norms-and-standards/guidelines/inspections/trs961-annex9-modelguidanceforstoragetransport.pdf" TargetMode="External" Id="rId11"/><Relationship Type="http://schemas.openxmlformats.org/officeDocument/2006/relationships/hyperlink" Target="https://www.iata.org/en/programs/cargo/pharma/" TargetMode="External" Id="rId12"/><Relationship Type="http://schemas.openxmlformats.org/officeDocument/2006/relationships/table" Target="/xl/tables/table1.xml" Id="rId13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Relationship Type="http://schemas.openxmlformats.org/officeDocument/2006/relationships/table" Target="/xl/tables/table8.xml" Id="rId2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6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5" customWidth="1" min="2" max="2"/>
    <col width="70" customWidth="1" min="3" max="3"/>
    <col width="24" customWidth="1" min="4" max="4"/>
  </cols>
  <sheetData>
    <row r="1"/>
    <row r="2">
      <c r="B2" s="1" t="inlineStr">
        <is>
          <t>George Operations Control Workbook</t>
        </is>
      </c>
    </row>
    <row r="3">
      <c r="B3" s="2" t="inlineStr">
        <is>
          <t>Procurement, import/logistics, and stock-management controls for a South African peptide-related business. Yellow cells are user inputs. This workbook is not legal approval and does not replace a validated operational ERP/WMS.</t>
        </is>
      </c>
    </row>
    <row r="4"/>
    <row r="5">
      <c r="B5" s="3" t="inlineStr">
        <is>
          <t>CRITICAL GO/NO-GO GATES</t>
        </is>
      </c>
    </row>
    <row r="6"/>
    <row r="7">
      <c r="B7" s="4" t="inlineStr">
        <is>
          <t>Gate</t>
        </is>
      </c>
      <c r="C7" s="4" t="inlineStr">
        <is>
          <t>Decision</t>
        </is>
      </c>
      <c r="D7" s="4" t="inlineStr">
        <is>
          <t>Pass criterion</t>
        </is>
      </c>
    </row>
    <row r="8">
      <c r="B8" s="5" t="inlineStr">
        <is>
          <t>1</t>
        </is>
      </c>
      <c r="C8" s="5" t="inlineStr">
        <is>
          <t>Classify every SKU</t>
        </is>
      </c>
      <c r="D8" s="5" t="inlineStr">
        <is>
          <t>Exact product, form, presentation, claims, intended user and channel have a signed Regulatory/Legal decision. Unresolved = BLOCKED.</t>
        </is>
      </c>
    </row>
    <row r="9">
      <c r="B9" s="5" t="inlineStr">
        <is>
          <t>2</t>
        </is>
      </c>
      <c r="C9" s="5" t="inlineStr">
        <is>
          <t>Verify authority</t>
        </is>
      </c>
      <c r="D9" s="5" t="inlineStr">
        <is>
          <t>Product registration/authorisation, establishment activity/premises scope, permits and customer eligibility are verified where applicable.</t>
        </is>
      </c>
    </row>
    <row r="10">
      <c r="B10" s="5" t="inlineStr">
        <is>
          <t>3</t>
        </is>
      </c>
      <c r="C10" s="5" t="inlineStr">
        <is>
          <t>Approve source</t>
        </is>
      </c>
      <c r="D10" s="5" t="inlineStr">
        <is>
          <t>Legal supplier, actual manufacturer, site, product/specification, laboratory and shipping lane are on the ASL.</t>
        </is>
      </c>
    </row>
    <row r="11">
      <c r="B11" s="5" t="inlineStr">
        <is>
          <t>4</t>
        </is>
      </c>
      <c r="C11" s="5" t="inlineStr">
        <is>
          <t>Approve quality</t>
        </is>
      </c>
      <c r="D11" s="5" t="inlineStr">
        <is>
          <t>Specification, methods, CoA authenticity, independent testing plan, stability, storage and release authority are documented.</t>
        </is>
      </c>
    </row>
    <row r="12">
      <c r="B12" s="5" t="inlineStr">
        <is>
          <t>5</t>
        </is>
      </c>
      <c r="C12" s="5" t="inlineStr">
        <is>
          <t>Pre-clear import</t>
        </is>
      </c>
      <c r="D12" s="5" t="inlineStr">
        <is>
          <t>Importer, HS treatment, valuation/origin, permits, documents, gateway and broker are confirmed before origin dispatch.</t>
        </is>
      </c>
    </row>
    <row r="13">
      <c r="B13" s="5" t="inlineStr">
        <is>
          <t>6</t>
        </is>
      </c>
      <c r="C13" s="5" t="inlineStr">
        <is>
          <t>Qualify logistics</t>
        </is>
      </c>
      <c r="D13" s="5" t="inlineStr">
        <is>
          <t>Pack-out, logger, custody handoffs, dwell limits, last mile, excursion handling and contingency are qualified.</t>
        </is>
      </c>
    </row>
    <row r="14">
      <c r="B14" s="5" t="inlineStr">
        <is>
          <t>7</t>
        </is>
      </c>
      <c r="C14" s="5" t="inlineStr">
        <is>
          <t>Prove economics</t>
        </is>
      </c>
      <c r="D14" s="5" t="inlineStr">
        <is>
          <t>Total landed cost, MOQ, usable shelf life, working capital, demand scenario and downside are approved.</t>
        </is>
      </c>
    </row>
    <row r="15"/>
    <row r="16">
      <c r="B16" s="3" t="inlineStr">
        <is>
          <t>SHEET INDEX</t>
        </is>
      </c>
    </row>
    <row r="17">
      <c r="B17" s="6" t="inlineStr">
        <is>
          <t>SKU Gate</t>
        </is>
      </c>
      <c r="C17" s="7" t="inlineStr">
        <is>
          <t>Block or approve each proposed product before supplier engagement or promotion.</t>
        </is>
      </c>
    </row>
    <row r="18">
      <c r="B18" s="6" t="inlineStr">
        <is>
          <t>Supplier ASL</t>
        </is>
      </c>
      <c r="C18" s="7" t="inlineStr">
        <is>
          <t>Qualify the legal supplier–manufacturer–site–product combination.</t>
        </is>
      </c>
    </row>
    <row r="19">
      <c r="B19" s="6" t="inlineStr">
        <is>
          <t>Landed Cost</t>
        </is>
      </c>
      <c r="C19" s="7" t="inlineStr">
        <is>
          <t>Compare complete shipment cost and contingency-adjusted cost per usable unit.</t>
        </is>
      </c>
    </row>
    <row r="20">
      <c r="B20" s="6" t="inlineStr">
        <is>
          <t>Inventory Planner</t>
        </is>
      </c>
      <c r="C20" s="7" t="inlineStr">
        <is>
          <t>Calculate safety stock, reorder point, inventory position and suggested order.</t>
        </is>
      </c>
    </row>
    <row r="21">
      <c r="B21" s="6" t="inlineStr">
        <is>
          <t>Stock Ledger</t>
        </is>
      </c>
      <c r="C21" s="7" t="inlineStr">
        <is>
          <t>Track lot, expiry, status, bin, last-ship date and near-expiry action.</t>
        </is>
      </c>
    </row>
    <row r="22">
      <c r="B22" s="6" t="inlineStr">
        <is>
          <t>SOP and KPI</t>
        </is>
      </c>
      <c r="C22" s="7" t="inlineStr">
        <is>
          <t>Implementation register and control metrics for management review.</t>
        </is>
      </c>
    </row>
    <row r="23"/>
    <row r="24"/>
    <row r="25">
      <c r="B25" s="3" t="inlineStr">
        <is>
          <t>KEY CONTROL</t>
        </is>
      </c>
    </row>
    <row r="26">
      <c r="B26" s="8" t="inlineStr">
        <is>
          <t>Only RELEASED stock may allocate. Returns, recalls, excursions, unresolved documents and short-dated lots remain electronically blocked and physically segregated until authorised disposition.</t>
        </is>
      </c>
    </row>
    <row r="27"/>
    <row r="28"/>
    <row r="29"/>
    <row r="30">
      <c r="B30" s="3" t="inlineStr">
        <is>
          <t>Primary sources</t>
        </is>
      </c>
    </row>
    <row r="31">
      <c r="B31" s="9" t="inlineStr">
        <is>
          <t>SAHPRA peptide information</t>
        </is>
      </c>
    </row>
    <row r="32">
      <c r="B32" s="9" t="inlineStr">
        <is>
          <t>SAHPRA pharma licensing</t>
        </is>
      </c>
    </row>
    <row r="33">
      <c r="B33" s="9" t="inlineStr">
        <is>
          <t>SAHPRA GWP v5</t>
        </is>
      </c>
    </row>
    <row r="34">
      <c r="B34" s="9" t="inlineStr">
        <is>
          <t>SARS imports</t>
        </is>
      </c>
    </row>
    <row r="35">
      <c r="B35" s="9" t="inlineStr">
        <is>
          <t>WHO TTSPP transport guidance</t>
        </is>
      </c>
    </row>
    <row r="36">
      <c r="B36" s="9" t="inlineStr">
        <is>
          <t>IATA healthcare cargo</t>
        </is>
      </c>
    </row>
  </sheetData>
  <mergeCells count="1">
    <mergeCell ref="B26:H28"/>
  </mergeCells>
  <hyperlinks>
    <hyperlink xmlns:r="http://schemas.openxmlformats.org/officeDocument/2006/relationships" ref="B17" r:id="rId1"/>
    <hyperlink xmlns:r="http://schemas.openxmlformats.org/officeDocument/2006/relationships" ref="B18" r:id="rId2"/>
    <hyperlink xmlns:r="http://schemas.openxmlformats.org/officeDocument/2006/relationships" ref="B19" r:id="rId3"/>
    <hyperlink xmlns:r="http://schemas.openxmlformats.org/officeDocument/2006/relationships" ref="B20" r:id="rId4"/>
    <hyperlink xmlns:r="http://schemas.openxmlformats.org/officeDocument/2006/relationships" ref="B21" r:id="rId5"/>
    <hyperlink xmlns:r="http://schemas.openxmlformats.org/officeDocument/2006/relationships" ref="B22" r:id="rId6"/>
    <hyperlink xmlns:r="http://schemas.openxmlformats.org/officeDocument/2006/relationships" ref="B31" r:id="rId7"/>
    <hyperlink xmlns:r="http://schemas.openxmlformats.org/officeDocument/2006/relationships" ref="B32" r:id="rId8"/>
    <hyperlink xmlns:r="http://schemas.openxmlformats.org/officeDocument/2006/relationships" ref="B33" r:id="rId9"/>
    <hyperlink xmlns:r="http://schemas.openxmlformats.org/officeDocument/2006/relationships" ref="B34" r:id="rId10"/>
    <hyperlink xmlns:r="http://schemas.openxmlformats.org/officeDocument/2006/relationships" ref="B35" r:id="rId11"/>
    <hyperlink xmlns:r="http://schemas.openxmlformats.org/officeDocument/2006/relationships" ref="B36" r:id="rId12"/>
  </hyperlink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tableParts count="1">
    <tablePart xmlns:r="http://schemas.openxmlformats.org/officeDocument/2006/relationships" r:id="rId13"/>
  </tableParts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O3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6" customWidth="1" min="2" max="2"/>
    <col width="30" customWidth="1" min="3" max="3"/>
    <col width="22" customWidth="1" min="4" max="4"/>
    <col width="22" customWidth="1" min="5" max="5"/>
    <col width="16" customWidth="1" min="6" max="6"/>
    <col width="18" customWidth="1" min="7" max="7"/>
    <col width="20" customWidth="1" min="8" max="8"/>
    <col width="22" customWidth="1" min="9" max="9"/>
    <col width="20" customWidth="1" min="10" max="10"/>
    <col width="22" customWidth="1" min="11" max="11"/>
    <col width="18" customWidth="1" min="12" max="12"/>
    <col width="14" customWidth="1" min="13" max="13"/>
    <col width="18" customWidth="1" min="14" max="14"/>
    <col width="42" customWidth="1" min="15" max="15"/>
  </cols>
  <sheetData>
    <row r="1"/>
    <row r="2">
      <c r="B2" s="1" t="inlineStr">
        <is>
          <t>SKU Classification and Purchase Gate</t>
        </is>
      </c>
    </row>
    <row r="3">
      <c r="B3" s="2" t="inlineStr">
        <is>
          <t>One row per proposed SKU. Purchasing may proceed only when the final formula returns APPROVED. Blank or unresolved evidence is a block, not an approval.</t>
        </is>
      </c>
    </row>
    <row r="4"/>
    <row r="5"/>
    <row r="6">
      <c r="B6" s="4" t="inlineStr">
        <is>
          <t>SKU ID</t>
        </is>
      </c>
      <c r="C6" s="4" t="inlineStr">
        <is>
          <t>Exact product / form</t>
        </is>
      </c>
      <c r="D6" s="4" t="inlineStr">
        <is>
          <t>Proposed channel</t>
        </is>
      </c>
      <c r="E6" s="4" t="inlineStr">
        <is>
          <t>Intended user</t>
        </is>
      </c>
      <c r="F6" s="4" t="inlineStr">
        <is>
          <t>Claims reviewed?</t>
        </is>
      </c>
      <c r="G6" s="4" t="inlineStr">
        <is>
          <t>Classification status</t>
        </is>
      </c>
      <c r="H6" s="4" t="inlineStr">
        <is>
          <t>Registration / authorisation verified?</t>
        </is>
      </c>
      <c r="I6" s="4" t="inlineStr">
        <is>
          <t>Establishment / permit scope verified?</t>
        </is>
      </c>
      <c r="J6" s="4" t="inlineStr">
        <is>
          <t>Storage / transport defined?</t>
        </is>
      </c>
      <c r="K6" s="4" t="inlineStr">
        <is>
          <t>Supplier-site-product approved?</t>
        </is>
      </c>
      <c r="L6" s="4" t="inlineStr">
        <is>
          <t>Customs path reviewed?</t>
        </is>
      </c>
      <c r="M6" s="4" t="inlineStr">
        <is>
          <t>Final gate</t>
        </is>
      </c>
      <c r="N6" s="4" t="inlineStr">
        <is>
          <t>Owner</t>
        </is>
      </c>
      <c r="O6" s="4" t="inlineStr">
        <is>
          <t>Evidence link / decision note</t>
        </is>
      </c>
    </row>
    <row r="7"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1">
        <f>IF(OR(F7&lt;&gt;"Yes",G7&lt;&gt;"Approved",H7&lt;&gt;"Yes",I7&lt;&gt;"Yes",J7&lt;&gt;"Yes",K7&lt;&gt;"Yes",L7&lt;&gt;"Yes"),"BLOCKED","APPROVED")</f>
        <v/>
      </c>
      <c r="N7" s="10" t="n"/>
      <c r="O7" s="10" t="n"/>
    </row>
    <row r="8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1">
        <f>IF(OR(F8&lt;&gt;"Yes",G8&lt;&gt;"Approved",H8&lt;&gt;"Yes",I8&lt;&gt;"Yes",J8&lt;&gt;"Yes",K8&lt;&gt;"Yes",L8&lt;&gt;"Yes"),"BLOCKED","APPROVED")</f>
        <v/>
      </c>
      <c r="N8" s="10" t="n"/>
      <c r="O8" s="10" t="n"/>
    </row>
    <row r="9"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1">
        <f>IF(OR(F9&lt;&gt;"Yes",G9&lt;&gt;"Approved",H9&lt;&gt;"Yes",I9&lt;&gt;"Yes",J9&lt;&gt;"Yes",K9&lt;&gt;"Yes",L9&lt;&gt;"Yes"),"BLOCKED","APPROVED")</f>
        <v/>
      </c>
      <c r="N9" s="10" t="n"/>
      <c r="O9" s="10" t="n"/>
    </row>
    <row r="10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1">
        <f>IF(OR(F10&lt;&gt;"Yes",G10&lt;&gt;"Approved",H10&lt;&gt;"Yes",I10&lt;&gt;"Yes",J10&lt;&gt;"Yes",K10&lt;&gt;"Yes",L10&lt;&gt;"Yes"),"BLOCKED","APPROVED")</f>
        <v/>
      </c>
      <c r="N10" s="10" t="n"/>
      <c r="O10" s="10" t="n"/>
    </row>
    <row r="11"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1">
        <f>IF(OR(F11&lt;&gt;"Yes",G11&lt;&gt;"Approved",H11&lt;&gt;"Yes",I11&lt;&gt;"Yes",J11&lt;&gt;"Yes",K11&lt;&gt;"Yes",L11&lt;&gt;"Yes"),"BLOCKED","APPROVED")</f>
        <v/>
      </c>
      <c r="N11" s="10" t="n"/>
      <c r="O11" s="10" t="n"/>
    </row>
    <row r="12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1">
        <f>IF(OR(F12&lt;&gt;"Yes",G12&lt;&gt;"Approved",H12&lt;&gt;"Yes",I12&lt;&gt;"Yes",J12&lt;&gt;"Yes",K12&lt;&gt;"Yes",L12&lt;&gt;"Yes"),"BLOCKED","APPROVED")</f>
        <v/>
      </c>
      <c r="N12" s="10" t="n"/>
      <c r="O12" s="10" t="n"/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1">
        <f>IF(OR(F13&lt;&gt;"Yes",G13&lt;&gt;"Approved",H13&lt;&gt;"Yes",I13&lt;&gt;"Yes",J13&lt;&gt;"Yes",K13&lt;&gt;"Yes",L13&lt;&gt;"Yes"),"BLOCKED","APPROVED")</f>
        <v/>
      </c>
      <c r="N13" s="10" t="n"/>
      <c r="O13" s="10" t="n"/>
    </row>
    <row r="14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1">
        <f>IF(OR(F14&lt;&gt;"Yes",G14&lt;&gt;"Approved",H14&lt;&gt;"Yes",I14&lt;&gt;"Yes",J14&lt;&gt;"Yes",K14&lt;&gt;"Yes",L14&lt;&gt;"Yes"),"BLOCKED","APPROVED")</f>
        <v/>
      </c>
      <c r="N14" s="10" t="n"/>
      <c r="O14" s="10" t="n"/>
    </row>
    <row r="15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1">
        <f>IF(OR(F15&lt;&gt;"Yes",G15&lt;&gt;"Approved",H15&lt;&gt;"Yes",I15&lt;&gt;"Yes",J15&lt;&gt;"Yes",K15&lt;&gt;"Yes",L15&lt;&gt;"Yes"),"BLOCKED","APPROVED")</f>
        <v/>
      </c>
      <c r="N15" s="10" t="n"/>
      <c r="O15" s="10" t="n"/>
    </row>
    <row r="16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1">
        <f>IF(OR(F16&lt;&gt;"Yes",G16&lt;&gt;"Approved",H16&lt;&gt;"Yes",I16&lt;&gt;"Yes",J16&lt;&gt;"Yes",K16&lt;&gt;"Yes",L16&lt;&gt;"Yes"),"BLOCKED","APPROVED")</f>
        <v/>
      </c>
      <c r="N16" s="10" t="n"/>
      <c r="O16" s="10" t="n"/>
    </row>
    <row r="17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1">
        <f>IF(OR(F17&lt;&gt;"Yes",G17&lt;&gt;"Approved",H17&lt;&gt;"Yes",I17&lt;&gt;"Yes",J17&lt;&gt;"Yes",K17&lt;&gt;"Yes",L17&lt;&gt;"Yes"),"BLOCKED","APPROVED")</f>
        <v/>
      </c>
      <c r="N17" s="10" t="n"/>
      <c r="O17" s="10" t="n"/>
    </row>
    <row r="18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1">
        <f>IF(OR(F18&lt;&gt;"Yes",G18&lt;&gt;"Approved",H18&lt;&gt;"Yes",I18&lt;&gt;"Yes",J18&lt;&gt;"Yes",K18&lt;&gt;"Yes",L18&lt;&gt;"Yes"),"BLOCKED","APPROVED")</f>
        <v/>
      </c>
      <c r="N18" s="10" t="n"/>
      <c r="O18" s="10" t="n"/>
    </row>
    <row r="19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1">
        <f>IF(OR(F19&lt;&gt;"Yes",G19&lt;&gt;"Approved",H19&lt;&gt;"Yes",I19&lt;&gt;"Yes",J19&lt;&gt;"Yes",K19&lt;&gt;"Yes",L19&lt;&gt;"Yes"),"BLOCKED","APPROVED")</f>
        <v/>
      </c>
      <c r="N19" s="10" t="n"/>
      <c r="O19" s="10" t="n"/>
    </row>
    <row r="20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1">
        <f>IF(OR(F20&lt;&gt;"Yes",G20&lt;&gt;"Approved",H20&lt;&gt;"Yes",I20&lt;&gt;"Yes",J20&lt;&gt;"Yes",K20&lt;&gt;"Yes",L20&lt;&gt;"Yes"),"BLOCKED","APPROVED")</f>
        <v/>
      </c>
      <c r="N20" s="10" t="n"/>
      <c r="O20" s="10" t="n"/>
    </row>
    <row r="2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1">
        <f>IF(OR(F21&lt;&gt;"Yes",G21&lt;&gt;"Approved",H21&lt;&gt;"Yes",I21&lt;&gt;"Yes",J21&lt;&gt;"Yes",K21&lt;&gt;"Yes",L21&lt;&gt;"Yes"),"BLOCKED","APPROVED")</f>
        <v/>
      </c>
      <c r="N21" s="10" t="n"/>
      <c r="O21" s="10" t="n"/>
    </row>
    <row r="22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1">
        <f>IF(OR(F22&lt;&gt;"Yes",G22&lt;&gt;"Approved",H22&lt;&gt;"Yes",I22&lt;&gt;"Yes",J22&lt;&gt;"Yes",K22&lt;&gt;"Yes",L22&lt;&gt;"Yes"),"BLOCKED","APPROVED")</f>
        <v/>
      </c>
      <c r="N22" s="10" t="n"/>
      <c r="O22" s="10" t="n"/>
    </row>
    <row r="23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1">
        <f>IF(OR(F23&lt;&gt;"Yes",G23&lt;&gt;"Approved",H23&lt;&gt;"Yes",I23&lt;&gt;"Yes",J23&lt;&gt;"Yes",K23&lt;&gt;"Yes",L23&lt;&gt;"Yes"),"BLOCKED","APPROVED")</f>
        <v/>
      </c>
      <c r="N23" s="10" t="n"/>
      <c r="O23" s="10" t="n"/>
    </row>
    <row r="24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1">
        <f>IF(OR(F24&lt;&gt;"Yes",G24&lt;&gt;"Approved",H24&lt;&gt;"Yes",I24&lt;&gt;"Yes",J24&lt;&gt;"Yes",K24&lt;&gt;"Yes",L24&lt;&gt;"Yes"),"BLOCKED","APPROVED")</f>
        <v/>
      </c>
      <c r="N24" s="10" t="n"/>
      <c r="O24" s="10" t="n"/>
    </row>
    <row r="25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1">
        <f>IF(OR(F25&lt;&gt;"Yes",G25&lt;&gt;"Approved",H25&lt;&gt;"Yes",I25&lt;&gt;"Yes",J25&lt;&gt;"Yes",K25&lt;&gt;"Yes",L25&lt;&gt;"Yes"),"BLOCKED","APPROVED")</f>
        <v/>
      </c>
      <c r="N25" s="10" t="n"/>
      <c r="O25" s="10" t="n"/>
    </row>
    <row r="26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1">
        <f>IF(OR(F26&lt;&gt;"Yes",G26&lt;&gt;"Approved",H26&lt;&gt;"Yes",I26&lt;&gt;"Yes",J26&lt;&gt;"Yes",K26&lt;&gt;"Yes",L26&lt;&gt;"Yes"),"BLOCKED","APPROVED")</f>
        <v/>
      </c>
      <c r="N26" s="10" t="n"/>
      <c r="O26" s="10" t="n"/>
    </row>
    <row r="27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1">
        <f>IF(OR(F27&lt;&gt;"Yes",G27&lt;&gt;"Approved",H27&lt;&gt;"Yes",I27&lt;&gt;"Yes",J27&lt;&gt;"Yes",K27&lt;&gt;"Yes",L27&lt;&gt;"Yes"),"BLOCKED","APPROVED")</f>
        <v/>
      </c>
      <c r="N27" s="10" t="n"/>
      <c r="O27" s="10" t="n"/>
    </row>
    <row r="28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1">
        <f>IF(OR(F28&lt;&gt;"Yes",G28&lt;&gt;"Approved",H28&lt;&gt;"Yes",I28&lt;&gt;"Yes",J28&lt;&gt;"Yes",K28&lt;&gt;"Yes",L28&lt;&gt;"Yes"),"BLOCKED","APPROVED")</f>
        <v/>
      </c>
      <c r="N28" s="10" t="n"/>
      <c r="O28" s="10" t="n"/>
    </row>
    <row r="29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1">
        <f>IF(OR(F29&lt;&gt;"Yes",G29&lt;&gt;"Approved",H29&lt;&gt;"Yes",I29&lt;&gt;"Yes",J29&lt;&gt;"Yes",K29&lt;&gt;"Yes",L29&lt;&gt;"Yes"),"BLOCKED","APPROVED")</f>
        <v/>
      </c>
      <c r="N29" s="10" t="n"/>
      <c r="O29" s="10" t="n"/>
    </row>
    <row r="30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1">
        <f>IF(OR(F30&lt;&gt;"Yes",G30&lt;&gt;"Approved",H30&lt;&gt;"Yes",I30&lt;&gt;"Yes",J30&lt;&gt;"Yes",K30&lt;&gt;"Yes",L30&lt;&gt;"Yes"),"BLOCKED","APPROVED")</f>
        <v/>
      </c>
      <c r="N30" s="10" t="n"/>
      <c r="O30" s="10" t="n"/>
    </row>
    <row r="3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1">
        <f>IF(OR(F31&lt;&gt;"Yes",G31&lt;&gt;"Approved",H31&lt;&gt;"Yes",I31&lt;&gt;"Yes",J31&lt;&gt;"Yes",K31&lt;&gt;"Yes",L31&lt;&gt;"Yes"),"BLOCKED","APPROVED")</f>
        <v/>
      </c>
      <c r="N31" s="10" t="n"/>
      <c r="O31" s="10" t="n"/>
    </row>
    <row r="32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1">
        <f>IF(OR(F32&lt;&gt;"Yes",G32&lt;&gt;"Approved",H32&lt;&gt;"Yes",I32&lt;&gt;"Yes",J32&lt;&gt;"Yes",K32&lt;&gt;"Yes",L32&lt;&gt;"Yes"),"BLOCKED","APPROVED")</f>
        <v/>
      </c>
      <c r="N32" s="10" t="n"/>
      <c r="O32" s="10" t="n"/>
    </row>
    <row r="33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1">
        <f>IF(OR(F33&lt;&gt;"Yes",G33&lt;&gt;"Approved",H33&lt;&gt;"Yes",I33&lt;&gt;"Yes",J33&lt;&gt;"Yes",K33&lt;&gt;"Yes",L33&lt;&gt;"Yes"),"BLOCKED","APPROVED")</f>
        <v/>
      </c>
      <c r="N33" s="10" t="n"/>
      <c r="O33" s="10" t="n"/>
    </row>
    <row r="34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1">
        <f>IF(OR(F34&lt;&gt;"Yes",G34&lt;&gt;"Approved",H34&lt;&gt;"Yes",I34&lt;&gt;"Yes",J34&lt;&gt;"Yes",K34&lt;&gt;"Yes",L34&lt;&gt;"Yes"),"BLOCKED","APPROVED")</f>
        <v/>
      </c>
      <c r="N34" s="10" t="n"/>
      <c r="O34" s="10" t="n"/>
    </row>
    <row r="35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1">
        <f>IF(OR(F35&lt;&gt;"Yes",G35&lt;&gt;"Approved",H35&lt;&gt;"Yes",I35&lt;&gt;"Yes",J35&lt;&gt;"Yes",K35&lt;&gt;"Yes",L35&lt;&gt;"Yes"),"BLOCKED","APPROVED")</f>
        <v/>
      </c>
      <c r="N35" s="10" t="n"/>
      <c r="O35" s="10" t="n"/>
    </row>
    <row r="36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1">
        <f>IF(OR(F36&lt;&gt;"Yes",G36&lt;&gt;"Approved",H36&lt;&gt;"Yes",I36&lt;&gt;"Yes",J36&lt;&gt;"Yes",K36&lt;&gt;"Yes",L36&lt;&gt;"Yes"),"BLOCKED","APPROVED")</f>
        <v/>
      </c>
      <c r="N36" s="10" t="n"/>
      <c r="O36" s="10" t="n"/>
    </row>
  </sheetData>
  <conditionalFormatting sqref="M7:M36">
    <cfRule type="expression" priority="1" dxfId="0">
      <formula>$M7="BLOCKED"</formula>
    </cfRule>
    <cfRule type="expression" priority="2" dxfId="1">
      <formula>$M7="APPROVED"</formula>
    </cfRule>
  </conditionalFormatting>
  <dataValidations count="3">
    <dataValidation sqref="D7:D36" showDropDown="0" showInputMessage="0" showErrorMessage="0" allowBlank="0" type="list">
      <formula1>"Clinician/Pharmacy,Non-clinical Research,Cosmetic,Supplement/Food,Unresolved"</formula1>
    </dataValidation>
    <dataValidation sqref="F7:F36 H7:L36" showDropDown="0" showInputMessage="0" showErrorMessage="0" allowBlank="0" type="list">
      <formula1>"Yes,No,Not applicable,Unresolved"</formula1>
    </dataValidation>
    <dataValidation sqref="G7:G36" showDropDown="0" showInputMessage="0" showErrorMessage="0" allowBlank="0" type="list">
      <formula1>"Approved,Blocked,Unresolved"</formula1>
    </dataValidation>
  </dataValidation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U3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4" customWidth="1" min="3" max="3"/>
    <col width="24" customWidth="1" min="4" max="4"/>
    <col width="26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36" customWidth="1" min="21" max="21"/>
  </cols>
  <sheetData>
    <row r="1"/>
    <row r="2">
      <c r="B2" s="1" t="inlineStr">
        <is>
          <t>Approved Supplier List and Qualification</t>
        </is>
      </c>
    </row>
    <row r="3">
      <c r="B3" s="2" t="inlineStr">
        <is>
          <t>Approval applies to the specific legal supplier, actual manufacturer, site, product/grade, laboratory and lane—not to a salesperson or generic catalogue.</t>
        </is>
      </c>
    </row>
    <row r="4"/>
    <row r="5"/>
    <row r="6">
      <c r="B6" s="4" t="inlineStr">
        <is>
          <t>ASL ID</t>
        </is>
      </c>
      <c r="C6" s="4" t="inlineStr">
        <is>
          <t>Legal supplier</t>
        </is>
      </c>
      <c r="D6" s="4" t="inlineStr">
        <is>
          <t>Actual manufacturer</t>
        </is>
      </c>
      <c r="E6" s="4" t="inlineStr">
        <is>
          <t>Manufacturing site</t>
        </is>
      </c>
      <c r="F6" s="4" t="inlineStr">
        <is>
          <t>Product / grade</t>
        </is>
      </c>
      <c r="G6" s="4" t="inlineStr">
        <is>
          <t>Channel</t>
        </is>
      </c>
      <c r="H6" s="4" t="inlineStr">
        <is>
          <t>Corporate verified?</t>
        </is>
      </c>
      <c r="I6" s="4" t="inlineStr">
        <is>
          <t>Licence / GMP scope verified?</t>
        </is>
      </c>
      <c r="J6" s="4" t="inlineStr">
        <is>
          <t>Manufacturer disclosed?</t>
        </is>
      </c>
      <c r="K6" s="4" t="inlineStr">
        <is>
          <t>Audit risk</t>
        </is>
      </c>
      <c r="L6" s="4" t="inlineStr">
        <is>
          <t>Audit / CAPA status</t>
        </is>
      </c>
      <c r="M6" s="4" t="inlineStr">
        <is>
          <t>Quality agreement?</t>
        </is>
      </c>
      <c r="N6" s="4" t="inlineStr">
        <is>
          <t>CoA authenticated?</t>
        </is>
      </c>
      <c r="O6" s="4" t="inlineStr">
        <is>
          <t>Independent test status</t>
        </is>
      </c>
      <c r="P6" s="4" t="inlineStr">
        <is>
          <t>Lane approved?</t>
        </is>
      </c>
      <c r="Q6" s="4" t="inlineStr">
        <is>
          <t>Continuity / alternate</t>
        </is>
      </c>
      <c r="R6" s="4" t="inlineStr">
        <is>
          <t>Approval status</t>
        </is>
      </c>
      <c r="S6" s="4" t="inlineStr">
        <is>
          <t>Next review</t>
        </is>
      </c>
      <c r="T6" s="4" t="inlineStr">
        <is>
          <t>Quality owner</t>
        </is>
      </c>
      <c r="U6" s="4" t="inlineStr">
        <is>
          <t>Notes / evidence</t>
        </is>
      </c>
    </row>
    <row r="7"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0" t="n"/>
      <c r="S7" s="10" t="n"/>
      <c r="T7" s="10" t="n"/>
      <c r="U7" s="10" t="n"/>
    </row>
    <row r="8"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0" t="n"/>
      <c r="O8" s="10" t="n"/>
      <c r="P8" s="10" t="n"/>
      <c r="Q8" s="10" t="n"/>
      <c r="R8" s="10" t="n"/>
      <c r="S8" s="10" t="n"/>
      <c r="T8" s="10" t="n"/>
      <c r="U8" s="10" t="n"/>
    </row>
    <row r="9"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0" t="n"/>
      <c r="S9" s="10" t="n"/>
      <c r="T9" s="10" t="n"/>
      <c r="U9" s="10" t="n"/>
    </row>
    <row r="10"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0" t="n"/>
      <c r="O10" s="10" t="n"/>
      <c r="P10" s="10" t="n"/>
      <c r="Q10" s="10" t="n"/>
      <c r="R10" s="10" t="n"/>
      <c r="S10" s="10" t="n"/>
      <c r="T10" s="10" t="n"/>
      <c r="U10" s="10" t="n"/>
    </row>
    <row r="11"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0" t="n"/>
      <c r="S11" s="10" t="n"/>
      <c r="T11" s="10" t="n"/>
      <c r="U11" s="10" t="n"/>
    </row>
    <row r="12"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0" t="n"/>
      <c r="O12" s="10" t="n"/>
      <c r="P12" s="10" t="n"/>
      <c r="Q12" s="10" t="n"/>
      <c r="R12" s="10" t="n"/>
      <c r="S12" s="10" t="n"/>
      <c r="T12" s="10" t="n"/>
      <c r="U12" s="10" t="n"/>
    </row>
    <row r="13"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0" t="n"/>
      <c r="S13" s="10" t="n"/>
      <c r="T13" s="10" t="n"/>
      <c r="U13" s="10" t="n"/>
    </row>
    <row r="14"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0" t="n"/>
      <c r="O14" s="10" t="n"/>
      <c r="P14" s="10" t="n"/>
      <c r="Q14" s="10" t="n"/>
      <c r="R14" s="10" t="n"/>
      <c r="S14" s="10" t="n"/>
      <c r="T14" s="10" t="n"/>
      <c r="U14" s="10" t="n"/>
    </row>
    <row r="15">
      <c r="B15" s="10" t="n"/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0" t="n"/>
      <c r="S15" s="10" t="n"/>
      <c r="T15" s="10" t="n"/>
      <c r="U15" s="10" t="n"/>
    </row>
    <row r="16">
      <c r="B16" s="10" t="n"/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0" t="n"/>
      <c r="M16" s="10" t="n"/>
      <c r="N16" s="10" t="n"/>
      <c r="O16" s="10" t="n"/>
      <c r="P16" s="10" t="n"/>
      <c r="Q16" s="10" t="n"/>
      <c r="R16" s="10" t="n"/>
      <c r="S16" s="10" t="n"/>
      <c r="T16" s="10" t="n"/>
      <c r="U16" s="10" t="n"/>
    </row>
    <row r="17">
      <c r="B17" s="10" t="n"/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0" t="n"/>
      <c r="S17" s="10" t="n"/>
      <c r="T17" s="10" t="n"/>
      <c r="U17" s="10" t="n"/>
    </row>
    <row r="18">
      <c r="B18" s="10" t="n"/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0" t="n"/>
      <c r="Q18" s="10" t="n"/>
      <c r="R18" s="10" t="n"/>
      <c r="S18" s="10" t="n"/>
      <c r="T18" s="10" t="n"/>
      <c r="U18" s="10" t="n"/>
    </row>
    <row r="19">
      <c r="B19" s="10" t="n"/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0" t="n"/>
      <c r="S19" s="10" t="n"/>
      <c r="T19" s="10" t="n"/>
      <c r="U19" s="10" t="n"/>
    </row>
    <row r="20">
      <c r="B20" s="10" t="n"/>
      <c r="C20" s="10" t="n"/>
      <c r="D20" s="10" t="n"/>
      <c r="E20" s="10" t="n"/>
      <c r="F20" s="10" t="n"/>
      <c r="G20" s="10" t="n"/>
      <c r="H20" s="10" t="n"/>
      <c r="I20" s="10" t="n"/>
      <c r="J20" s="10" t="n"/>
      <c r="K20" s="10" t="n"/>
      <c r="L20" s="10" t="n"/>
      <c r="M20" s="10" t="n"/>
      <c r="N20" s="10" t="n"/>
      <c r="O20" s="10" t="n"/>
      <c r="P20" s="10" t="n"/>
      <c r="Q20" s="10" t="n"/>
      <c r="R20" s="10" t="n"/>
      <c r="S20" s="10" t="n"/>
      <c r="T20" s="10" t="n"/>
      <c r="U20" s="10" t="n"/>
    </row>
    <row r="21">
      <c r="B21" s="10" t="n"/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0" t="n"/>
      <c r="S21" s="10" t="n"/>
      <c r="T21" s="10" t="n"/>
      <c r="U21" s="10" t="n"/>
    </row>
    <row r="22">
      <c r="B22" s="10" t="n"/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0" t="n"/>
      <c r="M22" s="10" t="n"/>
      <c r="N22" s="10" t="n"/>
      <c r="O22" s="10" t="n"/>
      <c r="P22" s="10" t="n"/>
      <c r="Q22" s="10" t="n"/>
      <c r="R22" s="10" t="n"/>
      <c r="S22" s="10" t="n"/>
      <c r="T22" s="10" t="n"/>
      <c r="U22" s="10" t="n"/>
    </row>
    <row r="23">
      <c r="B23" s="10" t="n"/>
      <c r="C23" s="10" t="n"/>
      <c r="D23" s="10" t="n"/>
      <c r="E23" s="10" t="n"/>
      <c r="F23" s="10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0" t="n"/>
      <c r="S23" s="10" t="n"/>
      <c r="T23" s="10" t="n"/>
      <c r="U23" s="10" t="n"/>
    </row>
    <row r="24"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0" t="n"/>
      <c r="O24" s="10" t="n"/>
      <c r="P24" s="10" t="n"/>
      <c r="Q24" s="10" t="n"/>
      <c r="R24" s="10" t="n"/>
      <c r="S24" s="10" t="n"/>
      <c r="T24" s="10" t="n"/>
      <c r="U24" s="10" t="n"/>
    </row>
    <row r="25"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0" t="n"/>
      <c r="S25" s="10" t="n"/>
      <c r="T25" s="10" t="n"/>
      <c r="U25" s="10" t="n"/>
    </row>
    <row r="26"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</row>
    <row r="27"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0" t="n"/>
      <c r="O27" s="10" t="n"/>
      <c r="P27" s="10" t="n"/>
      <c r="Q27" s="10" t="n"/>
      <c r="R27" s="10" t="n"/>
      <c r="S27" s="10" t="n"/>
      <c r="T27" s="10" t="n"/>
      <c r="U27" s="10" t="n"/>
    </row>
    <row r="28"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0" t="n"/>
      <c r="O28" s="10" t="n"/>
      <c r="P28" s="10" t="n"/>
      <c r="Q28" s="10" t="n"/>
      <c r="R28" s="10" t="n"/>
      <c r="S28" s="10" t="n"/>
      <c r="T28" s="10" t="n"/>
      <c r="U28" s="10" t="n"/>
    </row>
    <row r="29"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0" t="n"/>
      <c r="O29" s="10" t="n"/>
      <c r="P29" s="10" t="n"/>
      <c r="Q29" s="10" t="n"/>
      <c r="R29" s="10" t="n"/>
      <c r="S29" s="10" t="n"/>
      <c r="T29" s="10" t="n"/>
      <c r="U29" s="10" t="n"/>
    </row>
    <row r="30"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0" t="n"/>
      <c r="O30" s="10" t="n"/>
      <c r="P30" s="10" t="n"/>
      <c r="Q30" s="10" t="n"/>
      <c r="R30" s="10" t="n"/>
      <c r="S30" s="10" t="n"/>
      <c r="T30" s="10" t="n"/>
      <c r="U30" s="10" t="n"/>
    </row>
    <row r="31"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0" t="n"/>
      <c r="O31" s="10" t="n"/>
      <c r="P31" s="10" t="n"/>
      <c r="Q31" s="10" t="n"/>
      <c r="R31" s="10" t="n"/>
      <c r="S31" s="10" t="n"/>
      <c r="T31" s="10" t="n"/>
      <c r="U31" s="10" t="n"/>
    </row>
    <row r="32">
      <c r="B32" s="10" t="n"/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0" t="n"/>
      <c r="Q32" s="10" t="n"/>
      <c r="R32" s="10" t="n"/>
      <c r="S32" s="10" t="n"/>
      <c r="T32" s="10" t="n"/>
      <c r="U32" s="10" t="n"/>
    </row>
    <row r="33">
      <c r="B33" s="10" t="n"/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0" t="n"/>
      <c r="M33" s="10" t="n"/>
      <c r="N33" s="10" t="n"/>
      <c r="O33" s="10" t="n"/>
      <c r="P33" s="10" t="n"/>
      <c r="Q33" s="10" t="n"/>
      <c r="R33" s="10" t="n"/>
      <c r="S33" s="10" t="n"/>
      <c r="T33" s="10" t="n"/>
      <c r="U33" s="10" t="n"/>
    </row>
    <row r="34">
      <c r="B34" s="10" t="n"/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0" t="n"/>
      <c r="M34" s="10" t="n"/>
      <c r="N34" s="10" t="n"/>
      <c r="O34" s="10" t="n"/>
      <c r="P34" s="10" t="n"/>
      <c r="Q34" s="10" t="n"/>
      <c r="R34" s="10" t="n"/>
      <c r="S34" s="10" t="n"/>
      <c r="T34" s="10" t="n"/>
      <c r="U34" s="10" t="n"/>
    </row>
    <row r="35">
      <c r="B35" s="10" t="n"/>
      <c r="C35" s="10" t="n"/>
      <c r="D35" s="10" t="n"/>
      <c r="E35" s="10" t="n"/>
      <c r="F35" s="10" t="n"/>
      <c r="G35" s="10" t="n"/>
      <c r="H35" s="10" t="n"/>
      <c r="I35" s="10" t="n"/>
      <c r="J35" s="10" t="n"/>
      <c r="K35" s="10" t="n"/>
      <c r="L35" s="10" t="n"/>
      <c r="M35" s="10" t="n"/>
      <c r="N35" s="10" t="n"/>
      <c r="O35" s="10" t="n"/>
      <c r="P35" s="10" t="n"/>
      <c r="Q35" s="10" t="n"/>
      <c r="R35" s="10" t="n"/>
      <c r="S35" s="10" t="n"/>
      <c r="T35" s="10" t="n"/>
      <c r="U35" s="10" t="n"/>
    </row>
    <row r="36">
      <c r="B36" s="10" t="n"/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0" t="n"/>
      <c r="M36" s="10" t="n"/>
      <c r="N36" s="10" t="n"/>
      <c r="O36" s="10" t="n"/>
      <c r="P36" s="10" t="n"/>
      <c r="Q36" s="10" t="n"/>
      <c r="R36" s="10" t="n"/>
      <c r="S36" s="10" t="n"/>
      <c r="T36" s="10" t="n"/>
      <c r="U36" s="10" t="n"/>
    </row>
  </sheetData>
  <conditionalFormatting sqref="R7:R36">
    <cfRule type="expression" priority="1" dxfId="1">
      <formula>$R7="Approved"</formula>
    </cfRule>
    <cfRule type="expression" priority="2" dxfId="0">
      <formula>OR($R7="Blocked",$R7="Suspended")</formula>
    </cfRule>
  </conditionalFormatting>
  <dataValidations count="6">
    <dataValidation sqref="H7:J36 M7:M36 P7:P36" showDropDown="0" showInputMessage="0" showErrorMessage="0" allowBlank="0" type="list">
      <formula1>"Yes,No,Pending,Not applicable"</formula1>
    </dataValidation>
    <dataValidation sqref="K7:K36" showDropDown="0" showInputMessage="0" showErrorMessage="0" allowBlank="0" type="list">
      <formula1>"Critical,High,Medium,Low"</formula1>
    </dataValidation>
    <dataValidation sqref="L7:L36" showDropDown="0" showInputMessage="0" showErrorMessage="0" allowBlank="0" type="list">
      <formula1>"Not started,Open CAPA,Critical CAPA closed,Approved"</formula1>
    </dataValidation>
    <dataValidation sqref="O7:O36" showDropDown="0" showInputMessage="0" showErrorMessage="0" allowBlank="0" type="list">
      <formula1>"Not started,Sample passed,Qualification lots passed,Periodic verification current,Failed"</formula1>
    </dataValidation>
    <dataValidation sqref="R7:R36" showDropDown="0" showInputMessage="0" showErrorMessage="0" allowBlank="0" type="list">
      <formula1>"Blocked,Conditional,Approved,Suspended"</formula1>
    </dataValidation>
    <dataValidation sqref="G7:G36" showDropDown="0" showInputMessage="0" showErrorMessage="0" allowBlank="0" type="list">
      <formula1>"Clinician/Pharmacy,Non-clinical Research,Cosmetic,Supplement/Food"</formula1>
    </dataValidation>
  </dataValidation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AB2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0" customWidth="1" min="2" max="2"/>
    <col width="16" customWidth="1" min="3" max="3"/>
    <col width="22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17" customWidth="1" min="23" max="23"/>
    <col width="17" customWidth="1" min="24" max="24"/>
    <col width="17" customWidth="1" min="25" max="25"/>
    <col width="17" customWidth="1" min="26" max="26"/>
    <col width="17" customWidth="1" min="27" max="27"/>
    <col width="32" customWidth="1" min="28" max="28"/>
  </cols>
  <sheetData>
    <row r="1"/>
    <row r="2">
      <c r="B2" s="1" t="inlineStr">
        <is>
          <t>Shipment Landed-Cost Model</t>
        </is>
      </c>
    </row>
    <row r="3">
      <c r="B3" s="2" t="inlineStr">
        <is>
          <t>Enter quotation and current customs/tax advice. No generic peptide duty or VAT rate is assumed. All values are ZAR unless the header states otherwise.</t>
        </is>
      </c>
    </row>
    <row r="4"/>
    <row r="5"/>
    <row r="6">
      <c r="B6" s="4" t="inlineStr">
        <is>
          <t>Scenario / Quote ID</t>
        </is>
      </c>
      <c r="C6" s="4" t="inlineStr">
        <is>
          <t>SKU</t>
        </is>
      </c>
      <c r="D6" s="4" t="inlineStr">
        <is>
          <t>Supplier</t>
        </is>
      </c>
      <c r="E6" s="4" t="inlineStr">
        <is>
          <t>Quantity (units)</t>
        </is>
      </c>
      <c r="F6" s="4" t="inlineStr">
        <is>
          <t>Foreign unit price</t>
        </is>
      </c>
      <c r="G6" s="4" t="inlineStr">
        <is>
          <t>FX ZAR / currency</t>
        </is>
      </c>
      <c r="H6" s="4" t="inlineStr">
        <is>
          <t>Product cost ZAR</t>
        </is>
      </c>
      <c r="I6" s="4" t="inlineStr">
        <is>
          <t>Qualification + testing</t>
        </is>
      </c>
      <c r="J6" s="4" t="inlineStr">
        <is>
          <t>Freight</t>
        </is>
      </c>
      <c r="K6" s="4" t="inlineStr">
        <is>
          <t>Validated packaging + loggers</t>
        </is>
      </c>
      <c r="L6" s="4" t="inlineStr">
        <is>
          <t>Insurance</t>
        </is>
      </c>
      <c r="M6" s="4" t="inlineStr">
        <is>
          <t>Export documents</t>
        </is>
      </c>
      <c r="N6" s="4" t="inlineStr">
        <is>
          <t>Broker + clearance + handling</t>
        </is>
      </c>
      <c r="O6" s="4" t="inlineStr">
        <is>
          <t>Other customs value additions</t>
        </is>
      </c>
      <c r="P6" s="4" t="inlineStr">
        <is>
          <t>Customs value before duty</t>
        </is>
      </c>
      <c r="Q6" s="4" t="inlineStr">
        <is>
          <t>Duty rate</t>
        </is>
      </c>
      <c r="R6" s="4" t="inlineStr">
        <is>
          <t>Duty</t>
        </is>
      </c>
      <c r="S6" s="4" t="inlineStr">
        <is>
          <t>Import VAT input</t>
        </is>
      </c>
      <c r="T6" s="4" t="inlineStr">
        <is>
          <t>Demurrage / controlled hold</t>
        </is>
      </c>
      <c r="U6" s="4" t="inlineStr">
        <is>
          <t>Payment / FX fees</t>
        </is>
      </c>
      <c r="V6" s="4" t="inlineStr">
        <is>
          <t>Quarantine carrying cost</t>
        </is>
      </c>
      <c r="W6" s="4" t="inlineStr">
        <is>
          <t>Expected rejection / expiry allowance</t>
        </is>
      </c>
      <c r="X6" s="4" t="inlineStr">
        <is>
          <t>Total landed cost</t>
        </is>
      </c>
      <c r="Y6" s="4" t="inlineStr">
        <is>
          <t>Contingency rate</t>
        </is>
      </c>
      <c r="Z6" s="4" t="inlineStr">
        <is>
          <t>Contingency-adjusted cost</t>
        </is>
      </c>
      <c r="AA6" s="4" t="inlineStr">
        <is>
          <t>Adjusted cost / unit</t>
        </is>
      </c>
      <c r="AB6" s="4" t="inlineStr">
        <is>
          <t>Decision note</t>
        </is>
      </c>
    </row>
    <row r="7">
      <c r="B7" s="10" t="n"/>
      <c r="C7" s="10" t="n"/>
      <c r="D7" s="10" t="n"/>
      <c r="E7" s="12" t="n"/>
      <c r="F7" s="13" t="n"/>
      <c r="G7" s="13" t="n"/>
      <c r="H7" s="14">
        <f>IFERROR(E7*F7*G7,0)</f>
        <v/>
      </c>
      <c r="I7" s="13" t="n"/>
      <c r="J7" s="13" t="n"/>
      <c r="K7" s="13" t="n"/>
      <c r="L7" s="13" t="n"/>
      <c r="M7" s="13" t="n"/>
      <c r="N7" s="13" t="n"/>
      <c r="O7" s="13" t="n"/>
      <c r="P7" s="14">
        <f>SUM(H7:O7)</f>
        <v/>
      </c>
      <c r="Q7" s="15" t="n"/>
      <c r="R7" s="14">
        <f>P7*Q7</f>
        <v/>
      </c>
      <c r="S7" s="13" t="n"/>
      <c r="T7" s="13" t="n"/>
      <c r="U7" s="13" t="n"/>
      <c r="V7" s="13" t="n"/>
      <c r="W7" s="13" t="n"/>
      <c r="X7" s="14">
        <f>SUM(P7,R7:W7)</f>
        <v/>
      </c>
      <c r="Y7" s="15" t="n"/>
      <c r="Z7" s="14">
        <f>X7*(1+Y7)</f>
        <v/>
      </c>
      <c r="AA7" s="14">
        <f>IFERROR(Z7/E7,0)</f>
        <v/>
      </c>
      <c r="AB7" s="10" t="n"/>
    </row>
    <row r="8">
      <c r="B8" s="10" t="n"/>
      <c r="C8" s="10" t="n"/>
      <c r="D8" s="10" t="n"/>
      <c r="E8" s="12" t="n"/>
      <c r="F8" s="13" t="n"/>
      <c r="G8" s="13" t="n"/>
      <c r="H8" s="14">
        <f>IFERROR(E8*F8*G8,0)</f>
        <v/>
      </c>
      <c r="I8" s="13" t="n"/>
      <c r="J8" s="13" t="n"/>
      <c r="K8" s="13" t="n"/>
      <c r="L8" s="13" t="n"/>
      <c r="M8" s="13" t="n"/>
      <c r="N8" s="13" t="n"/>
      <c r="O8" s="13" t="n"/>
      <c r="P8" s="14">
        <f>SUM(H8:O8)</f>
        <v/>
      </c>
      <c r="Q8" s="15" t="n"/>
      <c r="R8" s="14">
        <f>P8*Q8</f>
        <v/>
      </c>
      <c r="S8" s="13" t="n"/>
      <c r="T8" s="13" t="n"/>
      <c r="U8" s="13" t="n"/>
      <c r="V8" s="13" t="n"/>
      <c r="W8" s="13" t="n"/>
      <c r="X8" s="14">
        <f>SUM(P8,R8:W8)</f>
        <v/>
      </c>
      <c r="Y8" s="15" t="n"/>
      <c r="Z8" s="14">
        <f>X8*(1+Y8)</f>
        <v/>
      </c>
      <c r="AA8" s="14">
        <f>IFERROR(Z8/E8,0)</f>
        <v/>
      </c>
      <c r="AB8" s="10" t="n"/>
    </row>
    <row r="9">
      <c r="B9" s="10" t="n"/>
      <c r="C9" s="10" t="n"/>
      <c r="D9" s="10" t="n"/>
      <c r="E9" s="12" t="n"/>
      <c r="F9" s="13" t="n"/>
      <c r="G9" s="13" t="n"/>
      <c r="H9" s="14">
        <f>IFERROR(E9*F9*G9,0)</f>
        <v/>
      </c>
      <c r="I9" s="13" t="n"/>
      <c r="J9" s="13" t="n"/>
      <c r="K9" s="13" t="n"/>
      <c r="L9" s="13" t="n"/>
      <c r="M9" s="13" t="n"/>
      <c r="N9" s="13" t="n"/>
      <c r="O9" s="13" t="n"/>
      <c r="P9" s="14">
        <f>SUM(H9:O9)</f>
        <v/>
      </c>
      <c r="Q9" s="15" t="n"/>
      <c r="R9" s="14">
        <f>P9*Q9</f>
        <v/>
      </c>
      <c r="S9" s="13" t="n"/>
      <c r="T9" s="13" t="n"/>
      <c r="U9" s="13" t="n"/>
      <c r="V9" s="13" t="n"/>
      <c r="W9" s="13" t="n"/>
      <c r="X9" s="14">
        <f>SUM(P9,R9:W9)</f>
        <v/>
      </c>
      <c r="Y9" s="15" t="n"/>
      <c r="Z9" s="14">
        <f>X9*(1+Y9)</f>
        <v/>
      </c>
      <c r="AA9" s="14">
        <f>IFERROR(Z9/E9,0)</f>
        <v/>
      </c>
      <c r="AB9" s="10" t="n"/>
    </row>
    <row r="10">
      <c r="B10" s="10" t="n"/>
      <c r="C10" s="10" t="n"/>
      <c r="D10" s="10" t="n"/>
      <c r="E10" s="12" t="n"/>
      <c r="F10" s="13" t="n"/>
      <c r="G10" s="13" t="n"/>
      <c r="H10" s="14">
        <f>IFERROR(E10*F10*G10,0)</f>
        <v/>
      </c>
      <c r="I10" s="13" t="n"/>
      <c r="J10" s="13" t="n"/>
      <c r="K10" s="13" t="n"/>
      <c r="L10" s="13" t="n"/>
      <c r="M10" s="13" t="n"/>
      <c r="N10" s="13" t="n"/>
      <c r="O10" s="13" t="n"/>
      <c r="P10" s="14">
        <f>SUM(H10:O10)</f>
        <v/>
      </c>
      <c r="Q10" s="15" t="n"/>
      <c r="R10" s="14">
        <f>P10*Q10</f>
        <v/>
      </c>
      <c r="S10" s="13" t="n"/>
      <c r="T10" s="13" t="n"/>
      <c r="U10" s="13" t="n"/>
      <c r="V10" s="13" t="n"/>
      <c r="W10" s="13" t="n"/>
      <c r="X10" s="14">
        <f>SUM(P10,R10:W10)</f>
        <v/>
      </c>
      <c r="Y10" s="15" t="n"/>
      <c r="Z10" s="14">
        <f>X10*(1+Y10)</f>
        <v/>
      </c>
      <c r="AA10" s="14">
        <f>IFERROR(Z10/E10,0)</f>
        <v/>
      </c>
      <c r="AB10" s="10" t="n"/>
    </row>
    <row r="11">
      <c r="B11" s="10" t="n"/>
      <c r="C11" s="10" t="n"/>
      <c r="D11" s="10" t="n"/>
      <c r="E11" s="12" t="n"/>
      <c r="F11" s="13" t="n"/>
      <c r="G11" s="13" t="n"/>
      <c r="H11" s="14">
        <f>IFERROR(E11*F11*G11,0)</f>
        <v/>
      </c>
      <c r="I11" s="13" t="n"/>
      <c r="J11" s="13" t="n"/>
      <c r="K11" s="13" t="n"/>
      <c r="L11" s="13" t="n"/>
      <c r="M11" s="13" t="n"/>
      <c r="N11" s="13" t="n"/>
      <c r="O11" s="13" t="n"/>
      <c r="P11" s="14">
        <f>SUM(H11:O11)</f>
        <v/>
      </c>
      <c r="Q11" s="15" t="n"/>
      <c r="R11" s="14">
        <f>P11*Q11</f>
        <v/>
      </c>
      <c r="S11" s="13" t="n"/>
      <c r="T11" s="13" t="n"/>
      <c r="U11" s="13" t="n"/>
      <c r="V11" s="13" t="n"/>
      <c r="W11" s="13" t="n"/>
      <c r="X11" s="14">
        <f>SUM(P11,R11:W11)</f>
        <v/>
      </c>
      <c r="Y11" s="15" t="n"/>
      <c r="Z11" s="14">
        <f>X11*(1+Y11)</f>
        <v/>
      </c>
      <c r="AA11" s="14">
        <f>IFERROR(Z11/E11,0)</f>
        <v/>
      </c>
      <c r="AB11" s="10" t="n"/>
    </row>
    <row r="12">
      <c r="B12" s="10" t="n"/>
      <c r="C12" s="10" t="n"/>
      <c r="D12" s="10" t="n"/>
      <c r="E12" s="12" t="n"/>
      <c r="F12" s="13" t="n"/>
      <c r="G12" s="13" t="n"/>
      <c r="H12" s="14">
        <f>IFERROR(E12*F12*G12,0)</f>
        <v/>
      </c>
      <c r="I12" s="13" t="n"/>
      <c r="J12" s="13" t="n"/>
      <c r="K12" s="13" t="n"/>
      <c r="L12" s="13" t="n"/>
      <c r="M12" s="13" t="n"/>
      <c r="N12" s="13" t="n"/>
      <c r="O12" s="13" t="n"/>
      <c r="P12" s="14">
        <f>SUM(H12:O12)</f>
        <v/>
      </c>
      <c r="Q12" s="15" t="n"/>
      <c r="R12" s="14">
        <f>P12*Q12</f>
        <v/>
      </c>
      <c r="S12" s="13" t="n"/>
      <c r="T12" s="13" t="n"/>
      <c r="U12" s="13" t="n"/>
      <c r="V12" s="13" t="n"/>
      <c r="W12" s="13" t="n"/>
      <c r="X12" s="14">
        <f>SUM(P12,R12:W12)</f>
        <v/>
      </c>
      <c r="Y12" s="15" t="n"/>
      <c r="Z12" s="14">
        <f>X12*(1+Y12)</f>
        <v/>
      </c>
      <c r="AA12" s="14">
        <f>IFERROR(Z12/E12,0)</f>
        <v/>
      </c>
      <c r="AB12" s="10" t="n"/>
    </row>
    <row r="13">
      <c r="B13" s="10" t="n"/>
      <c r="C13" s="10" t="n"/>
      <c r="D13" s="10" t="n"/>
      <c r="E13" s="12" t="n"/>
      <c r="F13" s="13" t="n"/>
      <c r="G13" s="13" t="n"/>
      <c r="H13" s="14">
        <f>IFERROR(E13*F13*G13,0)</f>
        <v/>
      </c>
      <c r="I13" s="13" t="n"/>
      <c r="J13" s="13" t="n"/>
      <c r="K13" s="13" t="n"/>
      <c r="L13" s="13" t="n"/>
      <c r="M13" s="13" t="n"/>
      <c r="N13" s="13" t="n"/>
      <c r="O13" s="13" t="n"/>
      <c r="P13" s="14">
        <f>SUM(H13:O13)</f>
        <v/>
      </c>
      <c r="Q13" s="15" t="n"/>
      <c r="R13" s="14">
        <f>P13*Q13</f>
        <v/>
      </c>
      <c r="S13" s="13" t="n"/>
      <c r="T13" s="13" t="n"/>
      <c r="U13" s="13" t="n"/>
      <c r="V13" s="13" t="n"/>
      <c r="W13" s="13" t="n"/>
      <c r="X13" s="14">
        <f>SUM(P13,R13:W13)</f>
        <v/>
      </c>
      <c r="Y13" s="15" t="n"/>
      <c r="Z13" s="14">
        <f>X13*(1+Y13)</f>
        <v/>
      </c>
      <c r="AA13" s="14">
        <f>IFERROR(Z13/E13,0)</f>
        <v/>
      </c>
      <c r="AB13" s="10" t="n"/>
    </row>
    <row r="14">
      <c r="B14" s="10" t="n"/>
      <c r="C14" s="10" t="n"/>
      <c r="D14" s="10" t="n"/>
      <c r="E14" s="12" t="n"/>
      <c r="F14" s="13" t="n"/>
      <c r="G14" s="13" t="n"/>
      <c r="H14" s="14">
        <f>IFERROR(E14*F14*G14,0)</f>
        <v/>
      </c>
      <c r="I14" s="13" t="n"/>
      <c r="J14" s="13" t="n"/>
      <c r="K14" s="13" t="n"/>
      <c r="L14" s="13" t="n"/>
      <c r="M14" s="13" t="n"/>
      <c r="N14" s="13" t="n"/>
      <c r="O14" s="13" t="n"/>
      <c r="P14" s="14">
        <f>SUM(H14:O14)</f>
        <v/>
      </c>
      <c r="Q14" s="15" t="n"/>
      <c r="R14" s="14">
        <f>P14*Q14</f>
        <v/>
      </c>
      <c r="S14" s="13" t="n"/>
      <c r="T14" s="13" t="n"/>
      <c r="U14" s="13" t="n"/>
      <c r="V14" s="13" t="n"/>
      <c r="W14" s="13" t="n"/>
      <c r="X14" s="14">
        <f>SUM(P14,R14:W14)</f>
        <v/>
      </c>
      <c r="Y14" s="15" t="n"/>
      <c r="Z14" s="14">
        <f>X14*(1+Y14)</f>
        <v/>
      </c>
      <c r="AA14" s="14">
        <f>IFERROR(Z14/E14,0)</f>
        <v/>
      </c>
      <c r="AB14" s="10" t="n"/>
    </row>
    <row r="15">
      <c r="B15" s="10" t="n"/>
      <c r="C15" s="10" t="n"/>
      <c r="D15" s="10" t="n"/>
      <c r="E15" s="12" t="n"/>
      <c r="F15" s="13" t="n"/>
      <c r="G15" s="13" t="n"/>
      <c r="H15" s="14">
        <f>IFERROR(E15*F15*G15,0)</f>
        <v/>
      </c>
      <c r="I15" s="13" t="n"/>
      <c r="J15" s="13" t="n"/>
      <c r="K15" s="13" t="n"/>
      <c r="L15" s="13" t="n"/>
      <c r="M15" s="13" t="n"/>
      <c r="N15" s="13" t="n"/>
      <c r="O15" s="13" t="n"/>
      <c r="P15" s="14">
        <f>SUM(H15:O15)</f>
        <v/>
      </c>
      <c r="Q15" s="15" t="n"/>
      <c r="R15" s="14">
        <f>P15*Q15</f>
        <v/>
      </c>
      <c r="S15" s="13" t="n"/>
      <c r="T15" s="13" t="n"/>
      <c r="U15" s="13" t="n"/>
      <c r="V15" s="13" t="n"/>
      <c r="W15" s="13" t="n"/>
      <c r="X15" s="14">
        <f>SUM(P15,R15:W15)</f>
        <v/>
      </c>
      <c r="Y15" s="15" t="n"/>
      <c r="Z15" s="14">
        <f>X15*(1+Y15)</f>
        <v/>
      </c>
      <c r="AA15" s="14">
        <f>IFERROR(Z15/E15,0)</f>
        <v/>
      </c>
      <c r="AB15" s="10" t="n"/>
    </row>
    <row r="16">
      <c r="B16" s="10" t="n"/>
      <c r="C16" s="10" t="n"/>
      <c r="D16" s="10" t="n"/>
      <c r="E16" s="12" t="n"/>
      <c r="F16" s="13" t="n"/>
      <c r="G16" s="13" t="n"/>
      <c r="H16" s="14">
        <f>IFERROR(E16*F16*G16,0)</f>
        <v/>
      </c>
      <c r="I16" s="13" t="n"/>
      <c r="J16" s="13" t="n"/>
      <c r="K16" s="13" t="n"/>
      <c r="L16" s="13" t="n"/>
      <c r="M16" s="13" t="n"/>
      <c r="N16" s="13" t="n"/>
      <c r="O16" s="13" t="n"/>
      <c r="P16" s="14">
        <f>SUM(H16:O16)</f>
        <v/>
      </c>
      <c r="Q16" s="15" t="n"/>
      <c r="R16" s="14">
        <f>P16*Q16</f>
        <v/>
      </c>
      <c r="S16" s="13" t="n"/>
      <c r="T16" s="13" t="n"/>
      <c r="U16" s="13" t="n"/>
      <c r="V16" s="13" t="n"/>
      <c r="W16" s="13" t="n"/>
      <c r="X16" s="14">
        <f>SUM(P16,R16:W16)</f>
        <v/>
      </c>
      <c r="Y16" s="15" t="n"/>
      <c r="Z16" s="14">
        <f>X16*(1+Y16)</f>
        <v/>
      </c>
      <c r="AA16" s="14">
        <f>IFERROR(Z16/E16,0)</f>
        <v/>
      </c>
      <c r="AB16" s="10" t="n"/>
    </row>
    <row r="17">
      <c r="B17" s="10" t="n"/>
      <c r="C17" s="10" t="n"/>
      <c r="D17" s="10" t="n"/>
      <c r="E17" s="12" t="n"/>
      <c r="F17" s="13" t="n"/>
      <c r="G17" s="13" t="n"/>
      <c r="H17" s="14">
        <f>IFERROR(E17*F17*G17,0)</f>
        <v/>
      </c>
      <c r="I17" s="13" t="n"/>
      <c r="J17" s="13" t="n"/>
      <c r="K17" s="13" t="n"/>
      <c r="L17" s="13" t="n"/>
      <c r="M17" s="13" t="n"/>
      <c r="N17" s="13" t="n"/>
      <c r="O17" s="13" t="n"/>
      <c r="P17" s="14">
        <f>SUM(H17:O17)</f>
        <v/>
      </c>
      <c r="Q17" s="15" t="n"/>
      <c r="R17" s="14">
        <f>P17*Q17</f>
        <v/>
      </c>
      <c r="S17" s="13" t="n"/>
      <c r="T17" s="13" t="n"/>
      <c r="U17" s="13" t="n"/>
      <c r="V17" s="13" t="n"/>
      <c r="W17" s="13" t="n"/>
      <c r="X17" s="14">
        <f>SUM(P17,R17:W17)</f>
        <v/>
      </c>
      <c r="Y17" s="15" t="n"/>
      <c r="Z17" s="14">
        <f>X17*(1+Y17)</f>
        <v/>
      </c>
      <c r="AA17" s="14">
        <f>IFERROR(Z17/E17,0)</f>
        <v/>
      </c>
      <c r="AB17" s="10" t="n"/>
    </row>
    <row r="18">
      <c r="B18" s="10" t="n"/>
      <c r="C18" s="10" t="n"/>
      <c r="D18" s="10" t="n"/>
      <c r="E18" s="12" t="n"/>
      <c r="F18" s="13" t="n"/>
      <c r="G18" s="13" t="n"/>
      <c r="H18" s="14">
        <f>IFERROR(E18*F18*G18,0)</f>
        <v/>
      </c>
      <c r="I18" s="13" t="n"/>
      <c r="J18" s="13" t="n"/>
      <c r="K18" s="13" t="n"/>
      <c r="L18" s="13" t="n"/>
      <c r="M18" s="13" t="n"/>
      <c r="N18" s="13" t="n"/>
      <c r="O18" s="13" t="n"/>
      <c r="P18" s="14">
        <f>SUM(H18:O18)</f>
        <v/>
      </c>
      <c r="Q18" s="15" t="n"/>
      <c r="R18" s="14">
        <f>P18*Q18</f>
        <v/>
      </c>
      <c r="S18" s="13" t="n"/>
      <c r="T18" s="13" t="n"/>
      <c r="U18" s="13" t="n"/>
      <c r="V18" s="13" t="n"/>
      <c r="W18" s="13" t="n"/>
      <c r="X18" s="14">
        <f>SUM(P18,R18:W18)</f>
        <v/>
      </c>
      <c r="Y18" s="15" t="n"/>
      <c r="Z18" s="14">
        <f>X18*(1+Y18)</f>
        <v/>
      </c>
      <c r="AA18" s="14">
        <f>IFERROR(Z18/E18,0)</f>
        <v/>
      </c>
      <c r="AB18" s="10" t="n"/>
    </row>
    <row r="19">
      <c r="B19" s="10" t="n"/>
      <c r="C19" s="10" t="n"/>
      <c r="D19" s="10" t="n"/>
      <c r="E19" s="12" t="n"/>
      <c r="F19" s="13" t="n"/>
      <c r="G19" s="13" t="n"/>
      <c r="H19" s="14">
        <f>IFERROR(E19*F19*G19,0)</f>
        <v/>
      </c>
      <c r="I19" s="13" t="n"/>
      <c r="J19" s="13" t="n"/>
      <c r="K19" s="13" t="n"/>
      <c r="L19" s="13" t="n"/>
      <c r="M19" s="13" t="n"/>
      <c r="N19" s="13" t="n"/>
      <c r="O19" s="13" t="n"/>
      <c r="P19" s="14">
        <f>SUM(H19:O19)</f>
        <v/>
      </c>
      <c r="Q19" s="15" t="n"/>
      <c r="R19" s="14">
        <f>P19*Q19</f>
        <v/>
      </c>
      <c r="S19" s="13" t="n"/>
      <c r="T19" s="13" t="n"/>
      <c r="U19" s="13" t="n"/>
      <c r="V19" s="13" t="n"/>
      <c r="W19" s="13" t="n"/>
      <c r="X19" s="14">
        <f>SUM(P19,R19:W19)</f>
        <v/>
      </c>
      <c r="Y19" s="15" t="n"/>
      <c r="Z19" s="14">
        <f>X19*(1+Y19)</f>
        <v/>
      </c>
      <c r="AA19" s="14">
        <f>IFERROR(Z19/E19,0)</f>
        <v/>
      </c>
      <c r="AB19" s="10" t="n"/>
    </row>
    <row r="20">
      <c r="B20" s="10" t="n"/>
      <c r="C20" s="10" t="n"/>
      <c r="D20" s="10" t="n"/>
      <c r="E20" s="12" t="n"/>
      <c r="F20" s="13" t="n"/>
      <c r="G20" s="13" t="n"/>
      <c r="H20" s="14">
        <f>IFERROR(E20*F20*G20,0)</f>
        <v/>
      </c>
      <c r="I20" s="13" t="n"/>
      <c r="J20" s="13" t="n"/>
      <c r="K20" s="13" t="n"/>
      <c r="L20" s="13" t="n"/>
      <c r="M20" s="13" t="n"/>
      <c r="N20" s="13" t="n"/>
      <c r="O20" s="13" t="n"/>
      <c r="P20" s="14">
        <f>SUM(H20:O20)</f>
        <v/>
      </c>
      <c r="Q20" s="15" t="n"/>
      <c r="R20" s="14">
        <f>P20*Q20</f>
        <v/>
      </c>
      <c r="S20" s="13" t="n"/>
      <c r="T20" s="13" t="n"/>
      <c r="U20" s="13" t="n"/>
      <c r="V20" s="13" t="n"/>
      <c r="W20" s="13" t="n"/>
      <c r="X20" s="14">
        <f>SUM(P20,R20:W20)</f>
        <v/>
      </c>
      <c r="Y20" s="15" t="n"/>
      <c r="Z20" s="14">
        <f>X20*(1+Y20)</f>
        <v/>
      </c>
      <c r="AA20" s="14">
        <f>IFERROR(Z20/E20,0)</f>
        <v/>
      </c>
      <c r="AB20" s="10" t="n"/>
    </row>
    <row r="21">
      <c r="B21" s="10" t="n"/>
      <c r="C21" s="10" t="n"/>
      <c r="D21" s="10" t="n"/>
      <c r="E21" s="12" t="n"/>
      <c r="F21" s="13" t="n"/>
      <c r="G21" s="13" t="n"/>
      <c r="H21" s="14">
        <f>IFERROR(E21*F21*G21,0)</f>
        <v/>
      </c>
      <c r="I21" s="13" t="n"/>
      <c r="J21" s="13" t="n"/>
      <c r="K21" s="13" t="n"/>
      <c r="L21" s="13" t="n"/>
      <c r="M21" s="13" t="n"/>
      <c r="N21" s="13" t="n"/>
      <c r="O21" s="13" t="n"/>
      <c r="P21" s="14">
        <f>SUM(H21:O21)</f>
        <v/>
      </c>
      <c r="Q21" s="15" t="n"/>
      <c r="R21" s="14">
        <f>P21*Q21</f>
        <v/>
      </c>
      <c r="S21" s="13" t="n"/>
      <c r="T21" s="13" t="n"/>
      <c r="U21" s="13" t="n"/>
      <c r="V21" s="13" t="n"/>
      <c r="W21" s="13" t="n"/>
      <c r="X21" s="14">
        <f>SUM(P21,R21:W21)</f>
        <v/>
      </c>
      <c r="Y21" s="15" t="n"/>
      <c r="Z21" s="14">
        <f>X21*(1+Y21)</f>
        <v/>
      </c>
      <c r="AA21" s="14">
        <f>IFERROR(Z21/E21,0)</f>
        <v/>
      </c>
      <c r="AB21" s="10" t="n"/>
    </row>
    <row r="22">
      <c r="B22" s="10" t="n"/>
      <c r="C22" s="10" t="n"/>
      <c r="D22" s="10" t="n"/>
      <c r="E22" s="12" t="n"/>
      <c r="F22" s="13" t="n"/>
      <c r="G22" s="13" t="n"/>
      <c r="H22" s="14">
        <f>IFERROR(E22*F22*G22,0)</f>
        <v/>
      </c>
      <c r="I22" s="13" t="n"/>
      <c r="J22" s="13" t="n"/>
      <c r="K22" s="13" t="n"/>
      <c r="L22" s="13" t="n"/>
      <c r="M22" s="13" t="n"/>
      <c r="N22" s="13" t="n"/>
      <c r="O22" s="13" t="n"/>
      <c r="P22" s="14">
        <f>SUM(H22:O22)</f>
        <v/>
      </c>
      <c r="Q22" s="15" t="n"/>
      <c r="R22" s="14">
        <f>P22*Q22</f>
        <v/>
      </c>
      <c r="S22" s="13" t="n"/>
      <c r="T22" s="13" t="n"/>
      <c r="U22" s="13" t="n"/>
      <c r="V22" s="13" t="n"/>
      <c r="W22" s="13" t="n"/>
      <c r="X22" s="14">
        <f>SUM(P22,R22:W22)</f>
        <v/>
      </c>
      <c r="Y22" s="15" t="n"/>
      <c r="Z22" s="14">
        <f>X22*(1+Y22)</f>
        <v/>
      </c>
      <c r="AA22" s="14">
        <f>IFERROR(Z22/E22,0)</f>
        <v/>
      </c>
      <c r="AB22" s="10" t="n"/>
    </row>
    <row r="23">
      <c r="B23" s="10" t="n"/>
      <c r="C23" s="10" t="n"/>
      <c r="D23" s="10" t="n"/>
      <c r="E23" s="12" t="n"/>
      <c r="F23" s="13" t="n"/>
      <c r="G23" s="13" t="n"/>
      <c r="H23" s="14">
        <f>IFERROR(E23*F23*G23,0)</f>
        <v/>
      </c>
      <c r="I23" s="13" t="n"/>
      <c r="J23" s="13" t="n"/>
      <c r="K23" s="13" t="n"/>
      <c r="L23" s="13" t="n"/>
      <c r="M23" s="13" t="n"/>
      <c r="N23" s="13" t="n"/>
      <c r="O23" s="13" t="n"/>
      <c r="P23" s="14">
        <f>SUM(H23:O23)</f>
        <v/>
      </c>
      <c r="Q23" s="15" t="n"/>
      <c r="R23" s="14">
        <f>P23*Q23</f>
        <v/>
      </c>
      <c r="S23" s="13" t="n"/>
      <c r="T23" s="13" t="n"/>
      <c r="U23" s="13" t="n"/>
      <c r="V23" s="13" t="n"/>
      <c r="W23" s="13" t="n"/>
      <c r="X23" s="14">
        <f>SUM(P23,R23:W23)</f>
        <v/>
      </c>
      <c r="Y23" s="15" t="n"/>
      <c r="Z23" s="14">
        <f>X23*(1+Y23)</f>
        <v/>
      </c>
      <c r="AA23" s="14">
        <f>IFERROR(Z23/E23,0)</f>
        <v/>
      </c>
      <c r="AB23" s="10" t="n"/>
    </row>
    <row r="24">
      <c r="B24" s="10" t="n"/>
      <c r="C24" s="10" t="n"/>
      <c r="D24" s="10" t="n"/>
      <c r="E24" s="12" t="n"/>
      <c r="F24" s="13" t="n"/>
      <c r="G24" s="13" t="n"/>
      <c r="H24" s="14">
        <f>IFERROR(E24*F24*G24,0)</f>
        <v/>
      </c>
      <c r="I24" s="13" t="n"/>
      <c r="J24" s="13" t="n"/>
      <c r="K24" s="13" t="n"/>
      <c r="L24" s="13" t="n"/>
      <c r="M24" s="13" t="n"/>
      <c r="N24" s="13" t="n"/>
      <c r="O24" s="13" t="n"/>
      <c r="P24" s="14">
        <f>SUM(H24:O24)</f>
        <v/>
      </c>
      <c r="Q24" s="15" t="n"/>
      <c r="R24" s="14">
        <f>P24*Q24</f>
        <v/>
      </c>
      <c r="S24" s="13" t="n"/>
      <c r="T24" s="13" t="n"/>
      <c r="U24" s="13" t="n"/>
      <c r="V24" s="13" t="n"/>
      <c r="W24" s="13" t="n"/>
      <c r="X24" s="14">
        <f>SUM(P24,R24:W24)</f>
        <v/>
      </c>
      <c r="Y24" s="15" t="n"/>
      <c r="Z24" s="14">
        <f>X24*(1+Y24)</f>
        <v/>
      </c>
      <c r="AA24" s="14">
        <f>IFERROR(Z24/E24,0)</f>
        <v/>
      </c>
      <c r="AB24" s="10" t="n"/>
    </row>
    <row r="25">
      <c r="B25" s="10" t="n"/>
      <c r="C25" s="10" t="n"/>
      <c r="D25" s="10" t="n"/>
      <c r="E25" s="12" t="n"/>
      <c r="F25" s="13" t="n"/>
      <c r="G25" s="13" t="n"/>
      <c r="H25" s="14">
        <f>IFERROR(E25*F25*G25,0)</f>
        <v/>
      </c>
      <c r="I25" s="13" t="n"/>
      <c r="J25" s="13" t="n"/>
      <c r="K25" s="13" t="n"/>
      <c r="L25" s="13" t="n"/>
      <c r="M25" s="13" t="n"/>
      <c r="N25" s="13" t="n"/>
      <c r="O25" s="13" t="n"/>
      <c r="P25" s="14">
        <f>SUM(H25:O25)</f>
        <v/>
      </c>
      <c r="Q25" s="15" t="n"/>
      <c r="R25" s="14">
        <f>P25*Q25</f>
        <v/>
      </c>
      <c r="S25" s="13" t="n"/>
      <c r="T25" s="13" t="n"/>
      <c r="U25" s="13" t="n"/>
      <c r="V25" s="13" t="n"/>
      <c r="W25" s="13" t="n"/>
      <c r="X25" s="14">
        <f>SUM(P25,R25:W25)</f>
        <v/>
      </c>
      <c r="Y25" s="15" t="n"/>
      <c r="Z25" s="14">
        <f>X25*(1+Y25)</f>
        <v/>
      </c>
      <c r="AA25" s="14">
        <f>IFERROR(Z25/E25,0)</f>
        <v/>
      </c>
      <c r="AB25" s="10" t="n"/>
    </row>
    <row r="26">
      <c r="B26" s="10" t="n"/>
      <c r="C26" s="10" t="n"/>
      <c r="D26" s="10" t="n"/>
      <c r="E26" s="12" t="n"/>
      <c r="F26" s="13" t="n"/>
      <c r="G26" s="13" t="n"/>
      <c r="H26" s="14">
        <f>IFERROR(E26*F26*G26,0)</f>
        <v/>
      </c>
      <c r="I26" s="13" t="n"/>
      <c r="J26" s="13" t="n"/>
      <c r="K26" s="13" t="n"/>
      <c r="L26" s="13" t="n"/>
      <c r="M26" s="13" t="n"/>
      <c r="N26" s="13" t="n"/>
      <c r="O26" s="13" t="n"/>
      <c r="P26" s="14">
        <f>SUM(H26:O26)</f>
        <v/>
      </c>
      <c r="Q26" s="15" t="n"/>
      <c r="R26" s="14">
        <f>P26*Q26</f>
        <v/>
      </c>
      <c r="S26" s="13" t="n"/>
      <c r="T26" s="13" t="n"/>
      <c r="U26" s="13" t="n"/>
      <c r="V26" s="13" t="n"/>
      <c r="W26" s="13" t="n"/>
      <c r="X26" s="14">
        <f>SUM(P26,R26:W26)</f>
        <v/>
      </c>
      <c r="Y26" s="15" t="n"/>
      <c r="Z26" s="14">
        <f>X26*(1+Y26)</f>
        <v/>
      </c>
      <c r="AA26" s="14">
        <f>IFERROR(Z26/E26,0)</f>
        <v/>
      </c>
      <c r="AB26" s="10" t="n"/>
    </row>
  </sheetData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X3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22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34" customWidth="1" min="24" max="24"/>
  </cols>
  <sheetData>
    <row r="1"/>
    <row r="2">
      <c r="B2" s="1" t="inlineStr">
        <is>
          <t>Inventory Replenishment Planner</t>
        </is>
      </c>
    </row>
    <row r="3">
      <c r="B3" s="2" t="inlineStr">
        <is>
          <t>Use consistent periods (for example, weeks) for demand and lead time. For new/intermittent products, compare formula output with scenario forecasts and a shelf-life purchase cap.</t>
        </is>
      </c>
    </row>
    <row r="4"/>
    <row r="5"/>
    <row r="6">
      <c r="B6" s="4" t="inlineStr">
        <is>
          <t>SKU</t>
        </is>
      </c>
      <c r="C6" s="4" t="inlineStr">
        <is>
          <t>Channel</t>
        </is>
      </c>
      <c r="D6" s="4" t="inlineStr">
        <is>
          <t>Average demand / period</t>
        </is>
      </c>
      <c r="E6" s="4" t="inlineStr">
        <is>
          <t>Demand or forecast-error SD</t>
        </is>
      </c>
      <c r="F6" s="4" t="inlineStr">
        <is>
          <t>Average lead time (periods)</t>
        </is>
      </c>
      <c r="G6" s="4" t="inlineStr">
        <is>
          <t>Lead-time SD</t>
        </is>
      </c>
      <c r="H6" s="4" t="inlineStr">
        <is>
          <t>Service factor z</t>
        </is>
      </c>
      <c r="I6" s="4" t="inlineStr">
        <is>
          <t>Released on hand</t>
        </is>
      </c>
      <c r="J6" s="4" t="inlineStr">
        <is>
          <t>Confirmed open orders</t>
        </is>
      </c>
      <c r="K6" s="4" t="inlineStr">
        <is>
          <t>Allocated / backorders</t>
        </is>
      </c>
      <c r="L6" s="4" t="inlineStr">
        <is>
          <t>Blocked / unsaleable</t>
        </is>
      </c>
      <c r="M6" s="4" t="inlineStr">
        <is>
          <t>Inventory position</t>
        </is>
      </c>
      <c r="N6" s="4" t="inlineStr">
        <is>
          <t>Safety stock</t>
        </is>
      </c>
      <c r="O6" s="4" t="inlineStr">
        <is>
          <t>Reorder point</t>
        </is>
      </c>
      <c r="P6" s="4" t="inlineStr">
        <is>
          <t>Gap to ROP</t>
        </is>
      </c>
      <c r="Q6" s="4" t="inlineStr">
        <is>
          <t>MOQ</t>
        </is>
      </c>
      <c r="R6" s="4" t="inlineStr">
        <is>
          <t>Order multiple</t>
        </is>
      </c>
      <c r="S6" s="4" t="inlineStr">
        <is>
          <t>Suggested order</t>
        </is>
      </c>
      <c r="T6" s="4" t="inlineStr">
        <is>
          <t>Unit landed cost</t>
        </is>
      </c>
      <c r="U6" s="4" t="inlineStr">
        <is>
          <t>Suggested PO value</t>
        </is>
      </c>
      <c r="V6" s="4" t="inlineStr">
        <is>
          <t>Usable shelf-life cap (units)</t>
        </is>
      </c>
      <c r="W6" s="4" t="inlineStr">
        <is>
          <t>Final approved order</t>
        </is>
      </c>
      <c r="X6" s="4" t="inlineStr">
        <is>
          <t>Approval note</t>
        </is>
      </c>
    </row>
    <row r="7">
      <c r="B7" s="10" t="n"/>
      <c r="C7" s="10" t="n"/>
      <c r="D7" s="16" t="n"/>
      <c r="E7" s="16" t="n"/>
      <c r="F7" s="16" t="n"/>
      <c r="G7" s="16" t="n"/>
      <c r="H7" s="16" t="n"/>
      <c r="I7" s="16" t="n"/>
      <c r="J7" s="16" t="n"/>
      <c r="K7" s="16" t="n"/>
      <c r="L7" s="16" t="n"/>
      <c r="M7" s="17">
        <f>MAX(0,I7+J7-K7-L7)</f>
        <v/>
      </c>
      <c r="N7" s="17">
        <f>MAX(0,H7*SQRT(MAX(0,F7*E7^2+D7^2*G7^2)))</f>
        <v/>
      </c>
      <c r="O7" s="17">
        <f>MAX(0,D7*F7+N7)</f>
        <v/>
      </c>
      <c r="P7" s="17">
        <f>MAX(0,O7-M7)</f>
        <v/>
      </c>
      <c r="Q7" s="16" t="n"/>
      <c r="R7" s="16" t="n"/>
      <c r="S7" s="17">
        <f>IF(P7&lt;=0,0,MAX(Q7,CEILING.MATH(P7,MAX(1,R7))))</f>
        <v/>
      </c>
      <c r="T7" s="16" t="n"/>
      <c r="U7" s="14">
        <f>S7*T7</f>
        <v/>
      </c>
      <c r="V7" s="16" t="n"/>
      <c r="W7" s="17">
        <f>MIN(S7,IF(V7="",S7,V7))</f>
        <v/>
      </c>
      <c r="X7" s="10" t="n"/>
    </row>
    <row r="8">
      <c r="B8" s="10" t="n"/>
      <c r="C8" s="10" t="n"/>
      <c r="D8" s="16" t="n"/>
      <c r="E8" s="16" t="n"/>
      <c r="F8" s="16" t="n"/>
      <c r="G8" s="16" t="n"/>
      <c r="H8" s="16" t="n"/>
      <c r="I8" s="16" t="n"/>
      <c r="J8" s="16" t="n"/>
      <c r="K8" s="16" t="n"/>
      <c r="L8" s="16" t="n"/>
      <c r="M8" s="17">
        <f>MAX(0,I8+J8-K8-L8)</f>
        <v/>
      </c>
      <c r="N8" s="17">
        <f>MAX(0,H8*SQRT(MAX(0,F8*E8^2+D8^2*G8^2)))</f>
        <v/>
      </c>
      <c r="O8" s="17">
        <f>MAX(0,D8*F8+N8)</f>
        <v/>
      </c>
      <c r="P8" s="17">
        <f>MAX(0,O8-M8)</f>
        <v/>
      </c>
      <c r="Q8" s="16" t="n"/>
      <c r="R8" s="16" t="n"/>
      <c r="S8" s="17">
        <f>IF(P8&lt;=0,0,MAX(Q8,CEILING.MATH(P8,MAX(1,R8))))</f>
        <v/>
      </c>
      <c r="T8" s="16" t="n"/>
      <c r="U8" s="14">
        <f>S8*T8</f>
        <v/>
      </c>
      <c r="V8" s="16" t="n"/>
      <c r="W8" s="17">
        <f>MIN(S8,IF(V8="",S8,V8))</f>
        <v/>
      </c>
      <c r="X8" s="10" t="n"/>
    </row>
    <row r="9">
      <c r="B9" s="10" t="n"/>
      <c r="C9" s="10" t="n"/>
      <c r="D9" s="16" t="n"/>
      <c r="E9" s="16" t="n"/>
      <c r="F9" s="16" t="n"/>
      <c r="G9" s="16" t="n"/>
      <c r="H9" s="16" t="n"/>
      <c r="I9" s="16" t="n"/>
      <c r="J9" s="16" t="n"/>
      <c r="K9" s="16" t="n"/>
      <c r="L9" s="16" t="n"/>
      <c r="M9" s="17">
        <f>MAX(0,I9+J9-K9-L9)</f>
        <v/>
      </c>
      <c r="N9" s="17">
        <f>MAX(0,H9*SQRT(MAX(0,F9*E9^2+D9^2*G9^2)))</f>
        <v/>
      </c>
      <c r="O9" s="17">
        <f>MAX(0,D9*F9+N9)</f>
        <v/>
      </c>
      <c r="P9" s="17">
        <f>MAX(0,O9-M9)</f>
        <v/>
      </c>
      <c r="Q9" s="16" t="n"/>
      <c r="R9" s="16" t="n"/>
      <c r="S9" s="17">
        <f>IF(P9&lt;=0,0,MAX(Q9,CEILING.MATH(P9,MAX(1,R9))))</f>
        <v/>
      </c>
      <c r="T9" s="16" t="n"/>
      <c r="U9" s="14">
        <f>S9*T9</f>
        <v/>
      </c>
      <c r="V9" s="16" t="n"/>
      <c r="W9" s="17">
        <f>MIN(S9,IF(V9="",S9,V9))</f>
        <v/>
      </c>
      <c r="X9" s="10" t="n"/>
    </row>
    <row r="10">
      <c r="B10" s="10" t="n"/>
      <c r="C10" s="10" t="n"/>
      <c r="D10" s="16" t="n"/>
      <c r="E10" s="16" t="n"/>
      <c r="F10" s="16" t="n"/>
      <c r="G10" s="16" t="n"/>
      <c r="H10" s="16" t="n"/>
      <c r="I10" s="16" t="n"/>
      <c r="J10" s="16" t="n"/>
      <c r="K10" s="16" t="n"/>
      <c r="L10" s="16" t="n"/>
      <c r="M10" s="17">
        <f>MAX(0,I10+J10-K10-L10)</f>
        <v/>
      </c>
      <c r="N10" s="17">
        <f>MAX(0,H10*SQRT(MAX(0,F10*E10^2+D10^2*G10^2)))</f>
        <v/>
      </c>
      <c r="O10" s="17">
        <f>MAX(0,D10*F10+N10)</f>
        <v/>
      </c>
      <c r="P10" s="17">
        <f>MAX(0,O10-M10)</f>
        <v/>
      </c>
      <c r="Q10" s="16" t="n"/>
      <c r="R10" s="16" t="n"/>
      <c r="S10" s="17">
        <f>IF(P10&lt;=0,0,MAX(Q10,CEILING.MATH(P10,MAX(1,R10))))</f>
        <v/>
      </c>
      <c r="T10" s="16" t="n"/>
      <c r="U10" s="14">
        <f>S10*T10</f>
        <v/>
      </c>
      <c r="V10" s="16" t="n"/>
      <c r="W10" s="17">
        <f>MIN(S10,IF(V10="",S10,V10))</f>
        <v/>
      </c>
      <c r="X10" s="10" t="n"/>
    </row>
    <row r="11">
      <c r="B11" s="10" t="n"/>
      <c r="C11" s="10" t="n"/>
      <c r="D11" s="16" t="n"/>
      <c r="E11" s="16" t="n"/>
      <c r="F11" s="16" t="n"/>
      <c r="G11" s="16" t="n"/>
      <c r="H11" s="16" t="n"/>
      <c r="I11" s="16" t="n"/>
      <c r="J11" s="16" t="n"/>
      <c r="K11" s="16" t="n"/>
      <c r="L11" s="16" t="n"/>
      <c r="M11" s="17">
        <f>MAX(0,I11+J11-K11-L11)</f>
        <v/>
      </c>
      <c r="N11" s="17">
        <f>MAX(0,H11*SQRT(MAX(0,F11*E11^2+D11^2*G11^2)))</f>
        <v/>
      </c>
      <c r="O11" s="17">
        <f>MAX(0,D11*F11+N11)</f>
        <v/>
      </c>
      <c r="P11" s="17">
        <f>MAX(0,O11-M11)</f>
        <v/>
      </c>
      <c r="Q11" s="16" t="n"/>
      <c r="R11" s="16" t="n"/>
      <c r="S11" s="17">
        <f>IF(P11&lt;=0,0,MAX(Q11,CEILING.MATH(P11,MAX(1,R11))))</f>
        <v/>
      </c>
      <c r="T11" s="16" t="n"/>
      <c r="U11" s="14">
        <f>S11*T11</f>
        <v/>
      </c>
      <c r="V11" s="16" t="n"/>
      <c r="W11" s="17">
        <f>MIN(S11,IF(V11="",S11,V11))</f>
        <v/>
      </c>
      <c r="X11" s="10" t="n"/>
    </row>
    <row r="12">
      <c r="B12" s="10" t="n"/>
      <c r="C12" s="10" t="n"/>
      <c r="D12" s="16" t="n"/>
      <c r="E12" s="16" t="n"/>
      <c r="F12" s="16" t="n"/>
      <c r="G12" s="16" t="n"/>
      <c r="H12" s="16" t="n"/>
      <c r="I12" s="16" t="n"/>
      <c r="J12" s="16" t="n"/>
      <c r="K12" s="16" t="n"/>
      <c r="L12" s="16" t="n"/>
      <c r="M12" s="17">
        <f>MAX(0,I12+J12-K12-L12)</f>
        <v/>
      </c>
      <c r="N12" s="17">
        <f>MAX(0,H12*SQRT(MAX(0,F12*E12^2+D12^2*G12^2)))</f>
        <v/>
      </c>
      <c r="O12" s="17">
        <f>MAX(0,D12*F12+N12)</f>
        <v/>
      </c>
      <c r="P12" s="17">
        <f>MAX(0,O12-M12)</f>
        <v/>
      </c>
      <c r="Q12" s="16" t="n"/>
      <c r="R12" s="16" t="n"/>
      <c r="S12" s="17">
        <f>IF(P12&lt;=0,0,MAX(Q12,CEILING.MATH(P12,MAX(1,R12))))</f>
        <v/>
      </c>
      <c r="T12" s="16" t="n"/>
      <c r="U12" s="14">
        <f>S12*T12</f>
        <v/>
      </c>
      <c r="V12" s="16" t="n"/>
      <c r="W12" s="17">
        <f>MIN(S12,IF(V12="",S12,V12))</f>
        <v/>
      </c>
      <c r="X12" s="10" t="n"/>
    </row>
    <row r="13">
      <c r="B13" s="10" t="n"/>
      <c r="C13" s="10" t="n"/>
      <c r="D13" s="16" t="n"/>
      <c r="E13" s="16" t="n"/>
      <c r="F13" s="16" t="n"/>
      <c r="G13" s="16" t="n"/>
      <c r="H13" s="16" t="n"/>
      <c r="I13" s="16" t="n"/>
      <c r="J13" s="16" t="n"/>
      <c r="K13" s="16" t="n"/>
      <c r="L13" s="16" t="n"/>
      <c r="M13" s="17">
        <f>MAX(0,I13+J13-K13-L13)</f>
        <v/>
      </c>
      <c r="N13" s="17">
        <f>MAX(0,H13*SQRT(MAX(0,F13*E13^2+D13^2*G13^2)))</f>
        <v/>
      </c>
      <c r="O13" s="17">
        <f>MAX(0,D13*F13+N13)</f>
        <v/>
      </c>
      <c r="P13" s="17">
        <f>MAX(0,O13-M13)</f>
        <v/>
      </c>
      <c r="Q13" s="16" t="n"/>
      <c r="R13" s="16" t="n"/>
      <c r="S13" s="17">
        <f>IF(P13&lt;=0,0,MAX(Q13,CEILING.MATH(P13,MAX(1,R13))))</f>
        <v/>
      </c>
      <c r="T13" s="16" t="n"/>
      <c r="U13" s="14">
        <f>S13*T13</f>
        <v/>
      </c>
      <c r="V13" s="16" t="n"/>
      <c r="W13" s="17">
        <f>MIN(S13,IF(V13="",S13,V13))</f>
        <v/>
      </c>
      <c r="X13" s="10" t="n"/>
    </row>
    <row r="14">
      <c r="B14" s="10" t="n"/>
      <c r="C14" s="10" t="n"/>
      <c r="D14" s="16" t="n"/>
      <c r="E14" s="16" t="n"/>
      <c r="F14" s="16" t="n"/>
      <c r="G14" s="16" t="n"/>
      <c r="H14" s="16" t="n"/>
      <c r="I14" s="16" t="n"/>
      <c r="J14" s="16" t="n"/>
      <c r="K14" s="16" t="n"/>
      <c r="L14" s="16" t="n"/>
      <c r="M14" s="17">
        <f>MAX(0,I14+J14-K14-L14)</f>
        <v/>
      </c>
      <c r="N14" s="17">
        <f>MAX(0,H14*SQRT(MAX(0,F14*E14^2+D14^2*G14^2)))</f>
        <v/>
      </c>
      <c r="O14" s="17">
        <f>MAX(0,D14*F14+N14)</f>
        <v/>
      </c>
      <c r="P14" s="17">
        <f>MAX(0,O14-M14)</f>
        <v/>
      </c>
      <c r="Q14" s="16" t="n"/>
      <c r="R14" s="16" t="n"/>
      <c r="S14" s="17">
        <f>IF(P14&lt;=0,0,MAX(Q14,CEILING.MATH(P14,MAX(1,R14))))</f>
        <v/>
      </c>
      <c r="T14" s="16" t="n"/>
      <c r="U14" s="14">
        <f>S14*T14</f>
        <v/>
      </c>
      <c r="V14" s="16" t="n"/>
      <c r="W14" s="17">
        <f>MIN(S14,IF(V14="",S14,V14))</f>
        <v/>
      </c>
      <c r="X14" s="10" t="n"/>
    </row>
    <row r="15">
      <c r="B15" s="10" t="n"/>
      <c r="C15" s="10" t="n"/>
      <c r="D15" s="16" t="n"/>
      <c r="E15" s="16" t="n"/>
      <c r="F15" s="16" t="n"/>
      <c r="G15" s="16" t="n"/>
      <c r="H15" s="16" t="n"/>
      <c r="I15" s="16" t="n"/>
      <c r="J15" s="16" t="n"/>
      <c r="K15" s="16" t="n"/>
      <c r="L15" s="16" t="n"/>
      <c r="M15" s="17">
        <f>MAX(0,I15+J15-K15-L15)</f>
        <v/>
      </c>
      <c r="N15" s="17">
        <f>MAX(0,H15*SQRT(MAX(0,F15*E15^2+D15^2*G15^2)))</f>
        <v/>
      </c>
      <c r="O15" s="17">
        <f>MAX(0,D15*F15+N15)</f>
        <v/>
      </c>
      <c r="P15" s="17">
        <f>MAX(0,O15-M15)</f>
        <v/>
      </c>
      <c r="Q15" s="16" t="n"/>
      <c r="R15" s="16" t="n"/>
      <c r="S15" s="17">
        <f>IF(P15&lt;=0,0,MAX(Q15,CEILING.MATH(P15,MAX(1,R15))))</f>
        <v/>
      </c>
      <c r="T15" s="16" t="n"/>
      <c r="U15" s="14">
        <f>S15*T15</f>
        <v/>
      </c>
      <c r="V15" s="16" t="n"/>
      <c r="W15" s="17">
        <f>MIN(S15,IF(V15="",S15,V15))</f>
        <v/>
      </c>
      <c r="X15" s="10" t="n"/>
    </row>
    <row r="16">
      <c r="B16" s="10" t="n"/>
      <c r="C16" s="10" t="n"/>
      <c r="D16" s="16" t="n"/>
      <c r="E16" s="16" t="n"/>
      <c r="F16" s="16" t="n"/>
      <c r="G16" s="16" t="n"/>
      <c r="H16" s="16" t="n"/>
      <c r="I16" s="16" t="n"/>
      <c r="J16" s="16" t="n"/>
      <c r="K16" s="16" t="n"/>
      <c r="L16" s="16" t="n"/>
      <c r="M16" s="17">
        <f>MAX(0,I16+J16-K16-L16)</f>
        <v/>
      </c>
      <c r="N16" s="17">
        <f>MAX(0,H16*SQRT(MAX(0,F16*E16^2+D16^2*G16^2)))</f>
        <v/>
      </c>
      <c r="O16" s="17">
        <f>MAX(0,D16*F16+N16)</f>
        <v/>
      </c>
      <c r="P16" s="17">
        <f>MAX(0,O16-M16)</f>
        <v/>
      </c>
      <c r="Q16" s="16" t="n"/>
      <c r="R16" s="16" t="n"/>
      <c r="S16" s="17">
        <f>IF(P16&lt;=0,0,MAX(Q16,CEILING.MATH(P16,MAX(1,R16))))</f>
        <v/>
      </c>
      <c r="T16" s="16" t="n"/>
      <c r="U16" s="14">
        <f>S16*T16</f>
        <v/>
      </c>
      <c r="V16" s="16" t="n"/>
      <c r="W16" s="17">
        <f>MIN(S16,IF(V16="",S16,V16))</f>
        <v/>
      </c>
      <c r="X16" s="10" t="n"/>
    </row>
    <row r="17">
      <c r="B17" s="10" t="n"/>
      <c r="C17" s="10" t="n"/>
      <c r="D17" s="16" t="n"/>
      <c r="E17" s="16" t="n"/>
      <c r="F17" s="16" t="n"/>
      <c r="G17" s="16" t="n"/>
      <c r="H17" s="16" t="n"/>
      <c r="I17" s="16" t="n"/>
      <c r="J17" s="16" t="n"/>
      <c r="K17" s="16" t="n"/>
      <c r="L17" s="16" t="n"/>
      <c r="M17" s="17">
        <f>MAX(0,I17+J17-K17-L17)</f>
        <v/>
      </c>
      <c r="N17" s="17">
        <f>MAX(0,H17*SQRT(MAX(0,F17*E17^2+D17^2*G17^2)))</f>
        <v/>
      </c>
      <c r="O17" s="17">
        <f>MAX(0,D17*F17+N17)</f>
        <v/>
      </c>
      <c r="P17" s="17">
        <f>MAX(0,O17-M17)</f>
        <v/>
      </c>
      <c r="Q17" s="16" t="n"/>
      <c r="R17" s="16" t="n"/>
      <c r="S17" s="17">
        <f>IF(P17&lt;=0,0,MAX(Q17,CEILING.MATH(P17,MAX(1,R17))))</f>
        <v/>
      </c>
      <c r="T17" s="16" t="n"/>
      <c r="U17" s="14">
        <f>S17*T17</f>
        <v/>
      </c>
      <c r="V17" s="16" t="n"/>
      <c r="W17" s="17">
        <f>MIN(S17,IF(V17="",S17,V17))</f>
        <v/>
      </c>
      <c r="X17" s="10" t="n"/>
    </row>
    <row r="18">
      <c r="B18" s="10" t="n"/>
      <c r="C18" s="10" t="n"/>
      <c r="D18" s="16" t="n"/>
      <c r="E18" s="16" t="n"/>
      <c r="F18" s="16" t="n"/>
      <c r="G18" s="16" t="n"/>
      <c r="H18" s="16" t="n"/>
      <c r="I18" s="16" t="n"/>
      <c r="J18" s="16" t="n"/>
      <c r="K18" s="16" t="n"/>
      <c r="L18" s="16" t="n"/>
      <c r="M18" s="17">
        <f>MAX(0,I18+J18-K18-L18)</f>
        <v/>
      </c>
      <c r="N18" s="17">
        <f>MAX(0,H18*SQRT(MAX(0,F18*E18^2+D18^2*G18^2)))</f>
        <v/>
      </c>
      <c r="O18" s="17">
        <f>MAX(0,D18*F18+N18)</f>
        <v/>
      </c>
      <c r="P18" s="17">
        <f>MAX(0,O18-M18)</f>
        <v/>
      </c>
      <c r="Q18" s="16" t="n"/>
      <c r="R18" s="16" t="n"/>
      <c r="S18" s="17">
        <f>IF(P18&lt;=0,0,MAX(Q18,CEILING.MATH(P18,MAX(1,R18))))</f>
        <v/>
      </c>
      <c r="T18" s="16" t="n"/>
      <c r="U18" s="14">
        <f>S18*T18</f>
        <v/>
      </c>
      <c r="V18" s="16" t="n"/>
      <c r="W18" s="17">
        <f>MIN(S18,IF(V18="",S18,V18))</f>
        <v/>
      </c>
      <c r="X18" s="10" t="n"/>
    </row>
    <row r="19">
      <c r="B19" s="10" t="n"/>
      <c r="C19" s="10" t="n"/>
      <c r="D19" s="16" t="n"/>
      <c r="E19" s="16" t="n"/>
      <c r="F19" s="16" t="n"/>
      <c r="G19" s="16" t="n"/>
      <c r="H19" s="16" t="n"/>
      <c r="I19" s="16" t="n"/>
      <c r="J19" s="16" t="n"/>
      <c r="K19" s="16" t="n"/>
      <c r="L19" s="16" t="n"/>
      <c r="M19" s="17">
        <f>MAX(0,I19+J19-K19-L19)</f>
        <v/>
      </c>
      <c r="N19" s="17">
        <f>MAX(0,H19*SQRT(MAX(0,F19*E19^2+D19^2*G19^2)))</f>
        <v/>
      </c>
      <c r="O19" s="17">
        <f>MAX(0,D19*F19+N19)</f>
        <v/>
      </c>
      <c r="P19" s="17">
        <f>MAX(0,O19-M19)</f>
        <v/>
      </c>
      <c r="Q19" s="16" t="n"/>
      <c r="R19" s="16" t="n"/>
      <c r="S19" s="17">
        <f>IF(P19&lt;=0,0,MAX(Q19,CEILING.MATH(P19,MAX(1,R19))))</f>
        <v/>
      </c>
      <c r="T19" s="16" t="n"/>
      <c r="U19" s="14">
        <f>S19*T19</f>
        <v/>
      </c>
      <c r="V19" s="16" t="n"/>
      <c r="W19" s="17">
        <f>MIN(S19,IF(V19="",S19,V19))</f>
        <v/>
      </c>
      <c r="X19" s="10" t="n"/>
    </row>
    <row r="20">
      <c r="B20" s="10" t="n"/>
      <c r="C20" s="10" t="n"/>
      <c r="D20" s="16" t="n"/>
      <c r="E20" s="16" t="n"/>
      <c r="F20" s="16" t="n"/>
      <c r="G20" s="16" t="n"/>
      <c r="H20" s="16" t="n"/>
      <c r="I20" s="16" t="n"/>
      <c r="J20" s="16" t="n"/>
      <c r="K20" s="16" t="n"/>
      <c r="L20" s="16" t="n"/>
      <c r="M20" s="17">
        <f>MAX(0,I20+J20-K20-L20)</f>
        <v/>
      </c>
      <c r="N20" s="17">
        <f>MAX(0,H20*SQRT(MAX(0,F20*E20^2+D20^2*G20^2)))</f>
        <v/>
      </c>
      <c r="O20" s="17">
        <f>MAX(0,D20*F20+N20)</f>
        <v/>
      </c>
      <c r="P20" s="17">
        <f>MAX(0,O20-M20)</f>
        <v/>
      </c>
      <c r="Q20" s="16" t="n"/>
      <c r="R20" s="16" t="n"/>
      <c r="S20" s="17">
        <f>IF(P20&lt;=0,0,MAX(Q20,CEILING.MATH(P20,MAX(1,R20))))</f>
        <v/>
      </c>
      <c r="T20" s="16" t="n"/>
      <c r="U20" s="14">
        <f>S20*T20</f>
        <v/>
      </c>
      <c r="V20" s="16" t="n"/>
      <c r="W20" s="17">
        <f>MIN(S20,IF(V20="",S20,V20))</f>
        <v/>
      </c>
      <c r="X20" s="10" t="n"/>
    </row>
    <row r="21">
      <c r="B21" s="10" t="n"/>
      <c r="C21" s="10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7">
        <f>MAX(0,I21+J21-K21-L21)</f>
        <v/>
      </c>
      <c r="N21" s="17">
        <f>MAX(0,H21*SQRT(MAX(0,F21*E21^2+D21^2*G21^2)))</f>
        <v/>
      </c>
      <c r="O21" s="17">
        <f>MAX(0,D21*F21+N21)</f>
        <v/>
      </c>
      <c r="P21" s="17">
        <f>MAX(0,O21-M21)</f>
        <v/>
      </c>
      <c r="Q21" s="16" t="n"/>
      <c r="R21" s="16" t="n"/>
      <c r="S21" s="17">
        <f>IF(P21&lt;=0,0,MAX(Q21,CEILING.MATH(P21,MAX(1,R21))))</f>
        <v/>
      </c>
      <c r="T21" s="16" t="n"/>
      <c r="U21" s="14">
        <f>S21*T21</f>
        <v/>
      </c>
      <c r="V21" s="16" t="n"/>
      <c r="W21" s="17">
        <f>MIN(S21,IF(V21="",S21,V21))</f>
        <v/>
      </c>
      <c r="X21" s="10" t="n"/>
    </row>
    <row r="22">
      <c r="B22" s="10" t="n"/>
      <c r="C22" s="10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7">
        <f>MAX(0,I22+J22-K22-L22)</f>
        <v/>
      </c>
      <c r="N22" s="17">
        <f>MAX(0,H22*SQRT(MAX(0,F22*E22^2+D22^2*G22^2)))</f>
        <v/>
      </c>
      <c r="O22" s="17">
        <f>MAX(0,D22*F22+N22)</f>
        <v/>
      </c>
      <c r="P22" s="17">
        <f>MAX(0,O22-M22)</f>
        <v/>
      </c>
      <c r="Q22" s="16" t="n"/>
      <c r="R22" s="16" t="n"/>
      <c r="S22" s="17">
        <f>IF(P22&lt;=0,0,MAX(Q22,CEILING.MATH(P22,MAX(1,R22))))</f>
        <v/>
      </c>
      <c r="T22" s="16" t="n"/>
      <c r="U22" s="14">
        <f>S22*T22</f>
        <v/>
      </c>
      <c r="V22" s="16" t="n"/>
      <c r="W22" s="17">
        <f>MIN(S22,IF(V22="",S22,V22))</f>
        <v/>
      </c>
      <c r="X22" s="10" t="n"/>
    </row>
    <row r="23">
      <c r="B23" s="10" t="n"/>
      <c r="C23" s="10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7">
        <f>MAX(0,I23+J23-K23-L23)</f>
        <v/>
      </c>
      <c r="N23" s="17">
        <f>MAX(0,H23*SQRT(MAX(0,F23*E23^2+D23^2*G23^2)))</f>
        <v/>
      </c>
      <c r="O23" s="17">
        <f>MAX(0,D23*F23+N23)</f>
        <v/>
      </c>
      <c r="P23" s="17">
        <f>MAX(0,O23-M23)</f>
        <v/>
      </c>
      <c r="Q23" s="16" t="n"/>
      <c r="R23" s="16" t="n"/>
      <c r="S23" s="17">
        <f>IF(P23&lt;=0,0,MAX(Q23,CEILING.MATH(P23,MAX(1,R23))))</f>
        <v/>
      </c>
      <c r="T23" s="16" t="n"/>
      <c r="U23" s="14">
        <f>S23*T23</f>
        <v/>
      </c>
      <c r="V23" s="16" t="n"/>
      <c r="W23" s="17">
        <f>MIN(S23,IF(V23="",S23,V23))</f>
        <v/>
      </c>
      <c r="X23" s="10" t="n"/>
    </row>
    <row r="24">
      <c r="B24" s="10" t="n"/>
      <c r="C24" s="10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7">
        <f>MAX(0,I24+J24-K24-L24)</f>
        <v/>
      </c>
      <c r="N24" s="17">
        <f>MAX(0,H24*SQRT(MAX(0,F24*E24^2+D24^2*G24^2)))</f>
        <v/>
      </c>
      <c r="O24" s="17">
        <f>MAX(0,D24*F24+N24)</f>
        <v/>
      </c>
      <c r="P24" s="17">
        <f>MAX(0,O24-M24)</f>
        <v/>
      </c>
      <c r="Q24" s="16" t="n"/>
      <c r="R24" s="16" t="n"/>
      <c r="S24" s="17">
        <f>IF(P24&lt;=0,0,MAX(Q24,CEILING.MATH(P24,MAX(1,R24))))</f>
        <v/>
      </c>
      <c r="T24" s="16" t="n"/>
      <c r="U24" s="14">
        <f>S24*T24</f>
        <v/>
      </c>
      <c r="V24" s="16" t="n"/>
      <c r="W24" s="17">
        <f>MIN(S24,IF(V24="",S24,V24))</f>
        <v/>
      </c>
      <c r="X24" s="10" t="n"/>
    </row>
    <row r="25">
      <c r="B25" s="10" t="n"/>
      <c r="C25" s="10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7">
        <f>MAX(0,I25+J25-K25-L25)</f>
        <v/>
      </c>
      <c r="N25" s="17">
        <f>MAX(0,H25*SQRT(MAX(0,F25*E25^2+D25^2*G25^2)))</f>
        <v/>
      </c>
      <c r="O25" s="17">
        <f>MAX(0,D25*F25+N25)</f>
        <v/>
      </c>
      <c r="P25" s="17">
        <f>MAX(0,O25-M25)</f>
        <v/>
      </c>
      <c r="Q25" s="16" t="n"/>
      <c r="R25" s="16" t="n"/>
      <c r="S25" s="17">
        <f>IF(P25&lt;=0,0,MAX(Q25,CEILING.MATH(P25,MAX(1,R25))))</f>
        <v/>
      </c>
      <c r="T25" s="16" t="n"/>
      <c r="U25" s="14">
        <f>S25*T25</f>
        <v/>
      </c>
      <c r="V25" s="16" t="n"/>
      <c r="W25" s="17">
        <f>MIN(S25,IF(V25="",S25,V25))</f>
        <v/>
      </c>
      <c r="X25" s="10" t="n"/>
    </row>
    <row r="26">
      <c r="B26" s="10" t="n"/>
      <c r="C26" s="10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7">
        <f>MAX(0,I26+J26-K26-L26)</f>
        <v/>
      </c>
      <c r="N26" s="17">
        <f>MAX(0,H26*SQRT(MAX(0,F26*E26^2+D26^2*G26^2)))</f>
        <v/>
      </c>
      <c r="O26" s="17">
        <f>MAX(0,D26*F26+N26)</f>
        <v/>
      </c>
      <c r="P26" s="17">
        <f>MAX(0,O26-M26)</f>
        <v/>
      </c>
      <c r="Q26" s="16" t="n"/>
      <c r="R26" s="16" t="n"/>
      <c r="S26" s="17">
        <f>IF(P26&lt;=0,0,MAX(Q26,CEILING.MATH(P26,MAX(1,R26))))</f>
        <v/>
      </c>
      <c r="T26" s="16" t="n"/>
      <c r="U26" s="14">
        <f>S26*T26</f>
        <v/>
      </c>
      <c r="V26" s="16" t="n"/>
      <c r="W26" s="17">
        <f>MIN(S26,IF(V26="",S26,V26))</f>
        <v/>
      </c>
      <c r="X26" s="10" t="n"/>
    </row>
    <row r="27">
      <c r="B27" s="10" t="n"/>
      <c r="C27" s="10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7">
        <f>MAX(0,I27+J27-K27-L27)</f>
        <v/>
      </c>
      <c r="N27" s="17">
        <f>MAX(0,H27*SQRT(MAX(0,F27*E27^2+D27^2*G27^2)))</f>
        <v/>
      </c>
      <c r="O27" s="17">
        <f>MAX(0,D27*F27+N27)</f>
        <v/>
      </c>
      <c r="P27" s="17">
        <f>MAX(0,O27-M27)</f>
        <v/>
      </c>
      <c r="Q27" s="16" t="n"/>
      <c r="R27" s="16" t="n"/>
      <c r="S27" s="17">
        <f>IF(P27&lt;=0,0,MAX(Q27,CEILING.MATH(P27,MAX(1,R27))))</f>
        <v/>
      </c>
      <c r="T27" s="16" t="n"/>
      <c r="U27" s="14">
        <f>S27*T27</f>
        <v/>
      </c>
      <c r="V27" s="16" t="n"/>
      <c r="W27" s="17">
        <f>MIN(S27,IF(V27="",S27,V27))</f>
        <v/>
      </c>
      <c r="X27" s="10" t="n"/>
    </row>
    <row r="28">
      <c r="B28" s="10" t="n"/>
      <c r="C28" s="10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7">
        <f>MAX(0,I28+J28-K28-L28)</f>
        <v/>
      </c>
      <c r="N28" s="17">
        <f>MAX(0,H28*SQRT(MAX(0,F28*E28^2+D28^2*G28^2)))</f>
        <v/>
      </c>
      <c r="O28" s="17">
        <f>MAX(0,D28*F28+N28)</f>
        <v/>
      </c>
      <c r="P28" s="17">
        <f>MAX(0,O28-M28)</f>
        <v/>
      </c>
      <c r="Q28" s="16" t="n"/>
      <c r="R28" s="16" t="n"/>
      <c r="S28" s="17">
        <f>IF(P28&lt;=0,0,MAX(Q28,CEILING.MATH(P28,MAX(1,R28))))</f>
        <v/>
      </c>
      <c r="T28" s="16" t="n"/>
      <c r="U28" s="14">
        <f>S28*T28</f>
        <v/>
      </c>
      <c r="V28" s="16" t="n"/>
      <c r="W28" s="17">
        <f>MIN(S28,IF(V28="",S28,V28))</f>
        <v/>
      </c>
      <c r="X28" s="10" t="n"/>
    </row>
    <row r="29">
      <c r="B29" s="10" t="n"/>
      <c r="C29" s="10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7">
        <f>MAX(0,I29+J29-K29-L29)</f>
        <v/>
      </c>
      <c r="N29" s="17">
        <f>MAX(0,H29*SQRT(MAX(0,F29*E29^2+D29^2*G29^2)))</f>
        <v/>
      </c>
      <c r="O29" s="17">
        <f>MAX(0,D29*F29+N29)</f>
        <v/>
      </c>
      <c r="P29" s="17">
        <f>MAX(0,O29-M29)</f>
        <v/>
      </c>
      <c r="Q29" s="16" t="n"/>
      <c r="R29" s="16" t="n"/>
      <c r="S29" s="17">
        <f>IF(P29&lt;=0,0,MAX(Q29,CEILING.MATH(P29,MAX(1,R29))))</f>
        <v/>
      </c>
      <c r="T29" s="16" t="n"/>
      <c r="U29" s="14">
        <f>S29*T29</f>
        <v/>
      </c>
      <c r="V29" s="16" t="n"/>
      <c r="W29" s="17">
        <f>MIN(S29,IF(V29="",S29,V29))</f>
        <v/>
      </c>
      <c r="X29" s="10" t="n"/>
    </row>
    <row r="30">
      <c r="B30" s="10" t="n"/>
      <c r="C30" s="10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7">
        <f>MAX(0,I30+J30-K30-L30)</f>
        <v/>
      </c>
      <c r="N30" s="17">
        <f>MAX(0,H30*SQRT(MAX(0,F30*E30^2+D30^2*G30^2)))</f>
        <v/>
      </c>
      <c r="O30" s="17">
        <f>MAX(0,D30*F30+N30)</f>
        <v/>
      </c>
      <c r="P30" s="17">
        <f>MAX(0,O30-M30)</f>
        <v/>
      </c>
      <c r="Q30" s="16" t="n"/>
      <c r="R30" s="16" t="n"/>
      <c r="S30" s="17">
        <f>IF(P30&lt;=0,0,MAX(Q30,CEILING.MATH(P30,MAX(1,R30))))</f>
        <v/>
      </c>
      <c r="T30" s="16" t="n"/>
      <c r="U30" s="14">
        <f>S30*T30</f>
        <v/>
      </c>
      <c r="V30" s="16" t="n"/>
      <c r="W30" s="17">
        <f>MIN(S30,IF(V30="",S30,V30))</f>
        <v/>
      </c>
      <c r="X30" s="10" t="n"/>
    </row>
    <row r="31">
      <c r="B31" s="10" t="n"/>
      <c r="C31" s="10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7">
        <f>MAX(0,I31+J31-K31-L31)</f>
        <v/>
      </c>
      <c r="N31" s="17">
        <f>MAX(0,H31*SQRT(MAX(0,F31*E31^2+D31^2*G31^2)))</f>
        <v/>
      </c>
      <c r="O31" s="17">
        <f>MAX(0,D31*F31+N31)</f>
        <v/>
      </c>
      <c r="P31" s="17">
        <f>MAX(0,O31-M31)</f>
        <v/>
      </c>
      <c r="Q31" s="16" t="n"/>
      <c r="R31" s="16" t="n"/>
      <c r="S31" s="17">
        <f>IF(P31&lt;=0,0,MAX(Q31,CEILING.MATH(P31,MAX(1,R31))))</f>
        <v/>
      </c>
      <c r="T31" s="16" t="n"/>
      <c r="U31" s="14">
        <f>S31*T31</f>
        <v/>
      </c>
      <c r="V31" s="16" t="n"/>
      <c r="W31" s="17">
        <f>MIN(S31,IF(V31="",S31,V31))</f>
        <v/>
      </c>
      <c r="X31" s="10" t="n"/>
    </row>
    <row r="32">
      <c r="B32" s="10" t="n"/>
      <c r="C32" s="10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7">
        <f>MAX(0,I32+J32-K32-L32)</f>
        <v/>
      </c>
      <c r="N32" s="17">
        <f>MAX(0,H32*SQRT(MAX(0,F32*E32^2+D32^2*G32^2)))</f>
        <v/>
      </c>
      <c r="O32" s="17">
        <f>MAX(0,D32*F32+N32)</f>
        <v/>
      </c>
      <c r="P32" s="17">
        <f>MAX(0,O32-M32)</f>
        <v/>
      </c>
      <c r="Q32" s="16" t="n"/>
      <c r="R32" s="16" t="n"/>
      <c r="S32" s="17">
        <f>IF(P32&lt;=0,0,MAX(Q32,CEILING.MATH(P32,MAX(1,R32))))</f>
        <v/>
      </c>
      <c r="T32" s="16" t="n"/>
      <c r="U32" s="14">
        <f>S32*T32</f>
        <v/>
      </c>
      <c r="V32" s="16" t="n"/>
      <c r="W32" s="17">
        <f>MIN(S32,IF(V32="",S32,V32))</f>
        <v/>
      </c>
      <c r="X32" s="10" t="n"/>
    </row>
    <row r="33">
      <c r="B33" s="10" t="n"/>
      <c r="C33" s="10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7">
        <f>MAX(0,I33+J33-K33-L33)</f>
        <v/>
      </c>
      <c r="N33" s="17">
        <f>MAX(0,H33*SQRT(MAX(0,F33*E33^2+D33^2*G33^2)))</f>
        <v/>
      </c>
      <c r="O33" s="17">
        <f>MAX(0,D33*F33+N33)</f>
        <v/>
      </c>
      <c r="P33" s="17">
        <f>MAX(0,O33-M33)</f>
        <v/>
      </c>
      <c r="Q33" s="16" t="n"/>
      <c r="R33" s="16" t="n"/>
      <c r="S33" s="17">
        <f>IF(P33&lt;=0,0,MAX(Q33,CEILING.MATH(P33,MAX(1,R33))))</f>
        <v/>
      </c>
      <c r="T33" s="16" t="n"/>
      <c r="U33" s="14">
        <f>S33*T33</f>
        <v/>
      </c>
      <c r="V33" s="16" t="n"/>
      <c r="W33" s="17">
        <f>MIN(S33,IF(V33="",S33,V33))</f>
        <v/>
      </c>
      <c r="X33" s="10" t="n"/>
    </row>
    <row r="34">
      <c r="B34" s="10" t="n"/>
      <c r="C34" s="10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7">
        <f>MAX(0,I34+J34-K34-L34)</f>
        <v/>
      </c>
      <c r="N34" s="17">
        <f>MAX(0,H34*SQRT(MAX(0,F34*E34^2+D34^2*G34^2)))</f>
        <v/>
      </c>
      <c r="O34" s="17">
        <f>MAX(0,D34*F34+N34)</f>
        <v/>
      </c>
      <c r="P34" s="17">
        <f>MAX(0,O34-M34)</f>
        <v/>
      </c>
      <c r="Q34" s="16" t="n"/>
      <c r="R34" s="16" t="n"/>
      <c r="S34" s="17">
        <f>IF(P34&lt;=0,0,MAX(Q34,CEILING.MATH(P34,MAX(1,R34))))</f>
        <v/>
      </c>
      <c r="T34" s="16" t="n"/>
      <c r="U34" s="14">
        <f>S34*T34</f>
        <v/>
      </c>
      <c r="V34" s="16" t="n"/>
      <c r="W34" s="17">
        <f>MIN(S34,IF(V34="",S34,V34))</f>
        <v/>
      </c>
      <c r="X34" s="10" t="n"/>
    </row>
    <row r="35">
      <c r="B35" s="10" t="n"/>
      <c r="C35" s="10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7">
        <f>MAX(0,I35+J35-K35-L35)</f>
        <v/>
      </c>
      <c r="N35" s="17">
        <f>MAX(0,H35*SQRT(MAX(0,F35*E35^2+D35^2*G35^2)))</f>
        <v/>
      </c>
      <c r="O35" s="17">
        <f>MAX(0,D35*F35+N35)</f>
        <v/>
      </c>
      <c r="P35" s="17">
        <f>MAX(0,O35-M35)</f>
        <v/>
      </c>
      <c r="Q35" s="16" t="n"/>
      <c r="R35" s="16" t="n"/>
      <c r="S35" s="17">
        <f>IF(P35&lt;=0,0,MAX(Q35,CEILING.MATH(P35,MAX(1,R35))))</f>
        <v/>
      </c>
      <c r="T35" s="16" t="n"/>
      <c r="U35" s="14">
        <f>S35*T35</f>
        <v/>
      </c>
      <c r="V35" s="16" t="n"/>
      <c r="W35" s="17">
        <f>MIN(S35,IF(V35="",S35,V35))</f>
        <v/>
      </c>
      <c r="X35" s="10" t="n"/>
    </row>
    <row r="36">
      <c r="B36" s="10" t="n"/>
      <c r="C36" s="10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7">
        <f>MAX(0,I36+J36-K36-L36)</f>
        <v/>
      </c>
      <c r="N36" s="17">
        <f>MAX(0,H36*SQRT(MAX(0,F36*E36^2+D36^2*G36^2)))</f>
        <v/>
      </c>
      <c r="O36" s="17">
        <f>MAX(0,D36*F36+N36)</f>
        <v/>
      </c>
      <c r="P36" s="17">
        <f>MAX(0,O36-M36)</f>
        <v/>
      </c>
      <c r="Q36" s="16" t="n"/>
      <c r="R36" s="16" t="n"/>
      <c r="S36" s="17">
        <f>IF(P36&lt;=0,0,MAX(Q36,CEILING.MATH(P36,MAX(1,R36))))</f>
        <v/>
      </c>
      <c r="T36" s="16" t="n"/>
      <c r="U36" s="14">
        <f>S36*T36</f>
        <v/>
      </c>
      <c r="V36" s="16" t="n"/>
      <c r="W36" s="17">
        <f>MIN(S36,IF(V36="",S36,V36))</f>
        <v/>
      </c>
      <c r="X36" s="10" t="n"/>
    </row>
  </sheetData>
  <dataValidations count="1">
    <dataValidation sqref="C7:C36" showDropDown="0" showInputMessage="0" showErrorMessage="0" allowBlank="0" type="list">
      <formula1>"Clinician/Pharmacy,Non-clinical Research,Cosmetic,Supplement/Food"</formula1>
    </dataValidation>
  </dataValidation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X56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20" customWidth="1" min="21" max="21"/>
    <col width="18" customWidth="1" min="22" max="22"/>
    <col width="18" customWidth="1" min="23" max="23"/>
    <col width="36" customWidth="1" min="24" max="24"/>
  </cols>
  <sheetData>
    <row r="1"/>
    <row r="2">
      <c r="B2" s="1" t="inlineStr">
        <is>
          <t>Lot, Expiry, Status and Location Ledger</t>
        </is>
      </c>
    </row>
    <row r="3">
      <c r="B3" s="2" t="inlineStr">
        <is>
          <t>Operational template for setup/testing. In production, maintain these controls in one validated ERP/WMS source of truth with an immutable audit trail.</t>
        </is>
      </c>
    </row>
    <row r="4"/>
    <row r="5"/>
    <row r="6">
      <c r="B6" s="4" t="inlineStr">
        <is>
          <t>Transaction / Lot ID</t>
        </is>
      </c>
      <c r="C6" s="4" t="inlineStr">
        <is>
          <t>SKU</t>
        </is>
      </c>
      <c r="D6" s="4" t="inlineStr">
        <is>
          <t>Manufacturer lot</t>
        </is>
      </c>
      <c r="E6" s="4" t="inlineStr">
        <is>
          <t>Supplier lot</t>
        </is>
      </c>
      <c r="F6" s="4" t="inlineStr">
        <is>
          <t>Receipt date</t>
        </is>
      </c>
      <c r="G6" s="4" t="inlineStr">
        <is>
          <t>Expiry / retest date</t>
        </is>
      </c>
      <c r="H6" s="4" t="inlineStr">
        <is>
          <t>Status</t>
        </is>
      </c>
      <c r="I6" s="4" t="inlineStr">
        <is>
          <t>Quantity</t>
        </is>
      </c>
      <c r="J6" s="4" t="inlineStr">
        <is>
          <t>UOM</t>
        </is>
      </c>
      <c r="K6" s="4" t="inlineStr">
        <is>
          <t>Site</t>
        </is>
      </c>
      <c r="L6" s="4" t="inlineStr">
        <is>
          <t>Zone</t>
        </is>
      </c>
      <c r="M6" s="4" t="inlineStr">
        <is>
          <t>Bin</t>
        </is>
      </c>
      <c r="N6" s="4" t="inlineStr">
        <is>
          <t>Storage class</t>
        </is>
      </c>
      <c r="O6" s="4" t="inlineStr">
        <is>
          <t>Logger / excursion ID</t>
        </is>
      </c>
      <c r="P6" s="4" t="inlineStr">
        <is>
          <t>Release / hold decision date</t>
        </is>
      </c>
      <c r="Q6" s="4" t="inlineStr">
        <is>
          <t>Minimum remaining life (days)</t>
        </is>
      </c>
      <c r="R6" s="4" t="inlineStr">
        <is>
          <t>Last-ship date</t>
        </is>
      </c>
      <c r="S6" s="4" t="inlineStr">
        <is>
          <t>Days to last ship</t>
        </is>
      </c>
      <c r="T6" s="4" t="inlineStr">
        <is>
          <t>Near-expiry action</t>
        </is>
      </c>
      <c r="U6" s="4" t="inlineStr">
        <is>
          <t>PO / GRN</t>
        </is>
      </c>
      <c r="V6" s="4" t="inlineStr">
        <is>
          <t>Customer / shipment link</t>
        </is>
      </c>
      <c r="W6" s="4" t="inlineStr">
        <is>
          <t>Owner</t>
        </is>
      </c>
      <c r="X6" s="4" t="inlineStr">
        <is>
          <t>Evidence / note</t>
        </is>
      </c>
    </row>
    <row r="7">
      <c r="B7" s="10" t="n"/>
      <c r="C7" s="10" t="n"/>
      <c r="D7" s="10" t="n"/>
      <c r="E7" s="10" t="n"/>
      <c r="F7" s="18" t="n"/>
      <c r="G7" s="18" t="n"/>
      <c r="H7" s="10" t="n"/>
      <c r="I7" s="16" t="n"/>
      <c r="J7" s="10" t="n"/>
      <c r="K7" s="10" t="n"/>
      <c r="L7" s="10" t="n"/>
      <c r="M7" s="10" t="n"/>
      <c r="N7" s="10" t="n"/>
      <c r="O7" s="10" t="n"/>
      <c r="P7" s="18" t="n"/>
      <c r="Q7" s="19" t="n"/>
      <c r="R7" s="20">
        <f>IF(OR(G7="",Q7=""),"",G7-Q7)</f>
        <v/>
      </c>
      <c r="S7" s="21">
        <f>IF(R7="","",R7-TODAY())</f>
        <v/>
      </c>
      <c r="T7" s="10">
        <f>IF(S7="","",IF(S7&lt;0,"BLOCK",IF(S7&lt;=30,"0-30 days",IF(S7&lt;=60,"31-60 days",IF(S7&lt;=90,"61-90 days",IF(S7&lt;=180,"91-180 days","Monitor"))))))</f>
        <v/>
      </c>
      <c r="U7" s="10" t="n"/>
      <c r="V7" s="10" t="n"/>
      <c r="W7" s="10" t="n"/>
      <c r="X7" s="10" t="n"/>
    </row>
    <row r="8">
      <c r="B8" s="10" t="n"/>
      <c r="C8" s="10" t="n"/>
      <c r="D8" s="10" t="n"/>
      <c r="E8" s="10" t="n"/>
      <c r="F8" s="18" t="n"/>
      <c r="G8" s="18" t="n"/>
      <c r="H8" s="10" t="n"/>
      <c r="I8" s="16" t="n"/>
      <c r="J8" s="10" t="n"/>
      <c r="K8" s="10" t="n"/>
      <c r="L8" s="10" t="n"/>
      <c r="M8" s="10" t="n"/>
      <c r="N8" s="10" t="n"/>
      <c r="O8" s="10" t="n"/>
      <c r="P8" s="18" t="n"/>
      <c r="Q8" s="19" t="n"/>
      <c r="R8" s="20">
        <f>IF(OR(G8="",Q8=""),"",G8-Q8)</f>
        <v/>
      </c>
      <c r="S8" s="21">
        <f>IF(R8="","",R8-TODAY())</f>
        <v/>
      </c>
      <c r="T8" s="10">
        <f>IF(S8="","",IF(S8&lt;0,"BLOCK",IF(S8&lt;=30,"0-30 days",IF(S8&lt;=60,"31-60 days",IF(S8&lt;=90,"61-90 days",IF(S8&lt;=180,"91-180 days","Monitor"))))))</f>
        <v/>
      </c>
      <c r="U8" s="10" t="n"/>
      <c r="V8" s="10" t="n"/>
      <c r="W8" s="10" t="n"/>
      <c r="X8" s="10" t="n"/>
    </row>
    <row r="9">
      <c r="B9" s="10" t="n"/>
      <c r="C9" s="10" t="n"/>
      <c r="D9" s="10" t="n"/>
      <c r="E9" s="10" t="n"/>
      <c r="F9" s="18" t="n"/>
      <c r="G9" s="18" t="n"/>
      <c r="H9" s="10" t="n"/>
      <c r="I9" s="16" t="n"/>
      <c r="J9" s="10" t="n"/>
      <c r="K9" s="10" t="n"/>
      <c r="L9" s="10" t="n"/>
      <c r="M9" s="10" t="n"/>
      <c r="N9" s="10" t="n"/>
      <c r="O9" s="10" t="n"/>
      <c r="P9" s="18" t="n"/>
      <c r="Q9" s="19" t="n"/>
      <c r="R9" s="20">
        <f>IF(OR(G9="",Q9=""),"",G9-Q9)</f>
        <v/>
      </c>
      <c r="S9" s="21">
        <f>IF(R9="","",R9-TODAY())</f>
        <v/>
      </c>
      <c r="T9" s="10">
        <f>IF(S9="","",IF(S9&lt;0,"BLOCK",IF(S9&lt;=30,"0-30 days",IF(S9&lt;=60,"31-60 days",IF(S9&lt;=90,"61-90 days",IF(S9&lt;=180,"91-180 days","Monitor"))))))</f>
        <v/>
      </c>
      <c r="U9" s="10" t="n"/>
      <c r="V9" s="10" t="n"/>
      <c r="W9" s="10" t="n"/>
      <c r="X9" s="10" t="n"/>
    </row>
    <row r="10">
      <c r="B10" s="10" t="n"/>
      <c r="C10" s="10" t="n"/>
      <c r="D10" s="10" t="n"/>
      <c r="E10" s="10" t="n"/>
      <c r="F10" s="18" t="n"/>
      <c r="G10" s="18" t="n"/>
      <c r="H10" s="10" t="n"/>
      <c r="I10" s="16" t="n"/>
      <c r="J10" s="10" t="n"/>
      <c r="K10" s="10" t="n"/>
      <c r="L10" s="10" t="n"/>
      <c r="M10" s="10" t="n"/>
      <c r="N10" s="10" t="n"/>
      <c r="O10" s="10" t="n"/>
      <c r="P10" s="18" t="n"/>
      <c r="Q10" s="19" t="n"/>
      <c r="R10" s="20">
        <f>IF(OR(G10="",Q10=""),"",G10-Q10)</f>
        <v/>
      </c>
      <c r="S10" s="21">
        <f>IF(R10="","",R10-TODAY())</f>
        <v/>
      </c>
      <c r="T10" s="10">
        <f>IF(S10="","",IF(S10&lt;0,"BLOCK",IF(S10&lt;=30,"0-30 days",IF(S10&lt;=60,"31-60 days",IF(S10&lt;=90,"61-90 days",IF(S10&lt;=180,"91-180 days","Monitor"))))))</f>
        <v/>
      </c>
      <c r="U10" s="10" t="n"/>
      <c r="V10" s="10" t="n"/>
      <c r="W10" s="10" t="n"/>
      <c r="X10" s="10" t="n"/>
    </row>
    <row r="11">
      <c r="B11" s="10" t="n"/>
      <c r="C11" s="10" t="n"/>
      <c r="D11" s="10" t="n"/>
      <c r="E11" s="10" t="n"/>
      <c r="F11" s="18" t="n"/>
      <c r="G11" s="18" t="n"/>
      <c r="H11" s="10" t="n"/>
      <c r="I11" s="16" t="n"/>
      <c r="J11" s="10" t="n"/>
      <c r="K11" s="10" t="n"/>
      <c r="L11" s="10" t="n"/>
      <c r="M11" s="10" t="n"/>
      <c r="N11" s="10" t="n"/>
      <c r="O11" s="10" t="n"/>
      <c r="P11" s="18" t="n"/>
      <c r="Q11" s="19" t="n"/>
      <c r="R11" s="20">
        <f>IF(OR(G11="",Q11=""),"",G11-Q11)</f>
        <v/>
      </c>
      <c r="S11" s="21">
        <f>IF(R11="","",R11-TODAY())</f>
        <v/>
      </c>
      <c r="T11" s="10">
        <f>IF(S11="","",IF(S11&lt;0,"BLOCK",IF(S11&lt;=30,"0-30 days",IF(S11&lt;=60,"31-60 days",IF(S11&lt;=90,"61-90 days",IF(S11&lt;=180,"91-180 days","Monitor"))))))</f>
        <v/>
      </c>
      <c r="U11" s="10" t="n"/>
      <c r="V11" s="10" t="n"/>
      <c r="W11" s="10" t="n"/>
      <c r="X11" s="10" t="n"/>
    </row>
    <row r="12">
      <c r="B12" s="10" t="n"/>
      <c r="C12" s="10" t="n"/>
      <c r="D12" s="10" t="n"/>
      <c r="E12" s="10" t="n"/>
      <c r="F12" s="18" t="n"/>
      <c r="G12" s="18" t="n"/>
      <c r="H12" s="10" t="n"/>
      <c r="I12" s="16" t="n"/>
      <c r="J12" s="10" t="n"/>
      <c r="K12" s="10" t="n"/>
      <c r="L12" s="10" t="n"/>
      <c r="M12" s="10" t="n"/>
      <c r="N12" s="10" t="n"/>
      <c r="O12" s="10" t="n"/>
      <c r="P12" s="18" t="n"/>
      <c r="Q12" s="19" t="n"/>
      <c r="R12" s="20">
        <f>IF(OR(G12="",Q12=""),"",G12-Q12)</f>
        <v/>
      </c>
      <c r="S12" s="21">
        <f>IF(R12="","",R12-TODAY())</f>
        <v/>
      </c>
      <c r="T12" s="10">
        <f>IF(S12="","",IF(S12&lt;0,"BLOCK",IF(S12&lt;=30,"0-30 days",IF(S12&lt;=60,"31-60 days",IF(S12&lt;=90,"61-90 days",IF(S12&lt;=180,"91-180 days","Monitor"))))))</f>
        <v/>
      </c>
      <c r="U12" s="10" t="n"/>
      <c r="V12" s="10" t="n"/>
      <c r="W12" s="10" t="n"/>
      <c r="X12" s="10" t="n"/>
    </row>
    <row r="13">
      <c r="B13" s="10" t="n"/>
      <c r="C13" s="10" t="n"/>
      <c r="D13" s="10" t="n"/>
      <c r="E13" s="10" t="n"/>
      <c r="F13" s="18" t="n"/>
      <c r="G13" s="18" t="n"/>
      <c r="H13" s="10" t="n"/>
      <c r="I13" s="16" t="n"/>
      <c r="J13" s="10" t="n"/>
      <c r="K13" s="10" t="n"/>
      <c r="L13" s="10" t="n"/>
      <c r="M13" s="10" t="n"/>
      <c r="N13" s="10" t="n"/>
      <c r="O13" s="10" t="n"/>
      <c r="P13" s="18" t="n"/>
      <c r="Q13" s="19" t="n"/>
      <c r="R13" s="20">
        <f>IF(OR(G13="",Q13=""),"",G13-Q13)</f>
        <v/>
      </c>
      <c r="S13" s="21">
        <f>IF(R13="","",R13-TODAY())</f>
        <v/>
      </c>
      <c r="T13" s="10">
        <f>IF(S13="","",IF(S13&lt;0,"BLOCK",IF(S13&lt;=30,"0-30 days",IF(S13&lt;=60,"31-60 days",IF(S13&lt;=90,"61-90 days",IF(S13&lt;=180,"91-180 days","Monitor"))))))</f>
        <v/>
      </c>
      <c r="U13" s="10" t="n"/>
      <c r="V13" s="10" t="n"/>
      <c r="W13" s="10" t="n"/>
      <c r="X13" s="10" t="n"/>
    </row>
    <row r="14">
      <c r="B14" s="10" t="n"/>
      <c r="C14" s="10" t="n"/>
      <c r="D14" s="10" t="n"/>
      <c r="E14" s="10" t="n"/>
      <c r="F14" s="18" t="n"/>
      <c r="G14" s="18" t="n"/>
      <c r="H14" s="10" t="n"/>
      <c r="I14" s="16" t="n"/>
      <c r="J14" s="10" t="n"/>
      <c r="K14" s="10" t="n"/>
      <c r="L14" s="10" t="n"/>
      <c r="M14" s="10" t="n"/>
      <c r="N14" s="10" t="n"/>
      <c r="O14" s="10" t="n"/>
      <c r="P14" s="18" t="n"/>
      <c r="Q14" s="19" t="n"/>
      <c r="R14" s="20">
        <f>IF(OR(G14="",Q14=""),"",G14-Q14)</f>
        <v/>
      </c>
      <c r="S14" s="21">
        <f>IF(R14="","",R14-TODAY())</f>
        <v/>
      </c>
      <c r="T14" s="10">
        <f>IF(S14="","",IF(S14&lt;0,"BLOCK",IF(S14&lt;=30,"0-30 days",IF(S14&lt;=60,"31-60 days",IF(S14&lt;=90,"61-90 days",IF(S14&lt;=180,"91-180 days","Monitor"))))))</f>
        <v/>
      </c>
      <c r="U14" s="10" t="n"/>
      <c r="V14" s="10" t="n"/>
      <c r="W14" s="10" t="n"/>
      <c r="X14" s="10" t="n"/>
    </row>
    <row r="15">
      <c r="B15" s="10" t="n"/>
      <c r="C15" s="10" t="n"/>
      <c r="D15" s="10" t="n"/>
      <c r="E15" s="10" t="n"/>
      <c r="F15" s="18" t="n"/>
      <c r="G15" s="18" t="n"/>
      <c r="H15" s="10" t="n"/>
      <c r="I15" s="16" t="n"/>
      <c r="J15" s="10" t="n"/>
      <c r="K15" s="10" t="n"/>
      <c r="L15" s="10" t="n"/>
      <c r="M15" s="10" t="n"/>
      <c r="N15" s="10" t="n"/>
      <c r="O15" s="10" t="n"/>
      <c r="P15" s="18" t="n"/>
      <c r="Q15" s="19" t="n"/>
      <c r="R15" s="20">
        <f>IF(OR(G15="",Q15=""),"",G15-Q15)</f>
        <v/>
      </c>
      <c r="S15" s="21">
        <f>IF(R15="","",R15-TODAY())</f>
        <v/>
      </c>
      <c r="T15" s="10">
        <f>IF(S15="","",IF(S15&lt;0,"BLOCK",IF(S15&lt;=30,"0-30 days",IF(S15&lt;=60,"31-60 days",IF(S15&lt;=90,"61-90 days",IF(S15&lt;=180,"91-180 days","Monitor"))))))</f>
        <v/>
      </c>
      <c r="U15" s="10" t="n"/>
      <c r="V15" s="10" t="n"/>
      <c r="W15" s="10" t="n"/>
      <c r="X15" s="10" t="n"/>
    </row>
    <row r="16">
      <c r="B16" s="10" t="n"/>
      <c r="C16" s="10" t="n"/>
      <c r="D16" s="10" t="n"/>
      <c r="E16" s="10" t="n"/>
      <c r="F16" s="18" t="n"/>
      <c r="G16" s="18" t="n"/>
      <c r="H16" s="10" t="n"/>
      <c r="I16" s="16" t="n"/>
      <c r="J16" s="10" t="n"/>
      <c r="K16" s="10" t="n"/>
      <c r="L16" s="10" t="n"/>
      <c r="M16" s="10" t="n"/>
      <c r="N16" s="10" t="n"/>
      <c r="O16" s="10" t="n"/>
      <c r="P16" s="18" t="n"/>
      <c r="Q16" s="19" t="n"/>
      <c r="R16" s="20">
        <f>IF(OR(G16="",Q16=""),"",G16-Q16)</f>
        <v/>
      </c>
      <c r="S16" s="21">
        <f>IF(R16="","",R16-TODAY())</f>
        <v/>
      </c>
      <c r="T16" s="10">
        <f>IF(S16="","",IF(S16&lt;0,"BLOCK",IF(S16&lt;=30,"0-30 days",IF(S16&lt;=60,"31-60 days",IF(S16&lt;=90,"61-90 days",IF(S16&lt;=180,"91-180 days","Monitor"))))))</f>
        <v/>
      </c>
      <c r="U16" s="10" t="n"/>
      <c r="V16" s="10" t="n"/>
      <c r="W16" s="10" t="n"/>
      <c r="X16" s="10" t="n"/>
    </row>
    <row r="17">
      <c r="B17" s="10" t="n"/>
      <c r="C17" s="10" t="n"/>
      <c r="D17" s="10" t="n"/>
      <c r="E17" s="10" t="n"/>
      <c r="F17" s="18" t="n"/>
      <c r="G17" s="18" t="n"/>
      <c r="H17" s="10" t="n"/>
      <c r="I17" s="16" t="n"/>
      <c r="J17" s="10" t="n"/>
      <c r="K17" s="10" t="n"/>
      <c r="L17" s="10" t="n"/>
      <c r="M17" s="10" t="n"/>
      <c r="N17" s="10" t="n"/>
      <c r="O17" s="10" t="n"/>
      <c r="P17" s="18" t="n"/>
      <c r="Q17" s="19" t="n"/>
      <c r="R17" s="20">
        <f>IF(OR(G17="",Q17=""),"",G17-Q17)</f>
        <v/>
      </c>
      <c r="S17" s="21">
        <f>IF(R17="","",R17-TODAY())</f>
        <v/>
      </c>
      <c r="T17" s="10">
        <f>IF(S17="","",IF(S17&lt;0,"BLOCK",IF(S17&lt;=30,"0-30 days",IF(S17&lt;=60,"31-60 days",IF(S17&lt;=90,"61-90 days",IF(S17&lt;=180,"91-180 days","Monitor"))))))</f>
        <v/>
      </c>
      <c r="U17" s="10" t="n"/>
      <c r="V17" s="10" t="n"/>
      <c r="W17" s="10" t="n"/>
      <c r="X17" s="10" t="n"/>
    </row>
    <row r="18">
      <c r="B18" s="10" t="n"/>
      <c r="C18" s="10" t="n"/>
      <c r="D18" s="10" t="n"/>
      <c r="E18" s="10" t="n"/>
      <c r="F18" s="18" t="n"/>
      <c r="G18" s="18" t="n"/>
      <c r="H18" s="10" t="n"/>
      <c r="I18" s="16" t="n"/>
      <c r="J18" s="10" t="n"/>
      <c r="K18" s="10" t="n"/>
      <c r="L18" s="10" t="n"/>
      <c r="M18" s="10" t="n"/>
      <c r="N18" s="10" t="n"/>
      <c r="O18" s="10" t="n"/>
      <c r="P18" s="18" t="n"/>
      <c r="Q18" s="19" t="n"/>
      <c r="R18" s="20">
        <f>IF(OR(G18="",Q18=""),"",G18-Q18)</f>
        <v/>
      </c>
      <c r="S18" s="21">
        <f>IF(R18="","",R18-TODAY())</f>
        <v/>
      </c>
      <c r="T18" s="10">
        <f>IF(S18="","",IF(S18&lt;0,"BLOCK",IF(S18&lt;=30,"0-30 days",IF(S18&lt;=60,"31-60 days",IF(S18&lt;=90,"61-90 days",IF(S18&lt;=180,"91-180 days","Monitor"))))))</f>
        <v/>
      </c>
      <c r="U18" s="10" t="n"/>
      <c r="V18" s="10" t="n"/>
      <c r="W18" s="10" t="n"/>
      <c r="X18" s="10" t="n"/>
    </row>
    <row r="19">
      <c r="B19" s="10" t="n"/>
      <c r="C19" s="10" t="n"/>
      <c r="D19" s="10" t="n"/>
      <c r="E19" s="10" t="n"/>
      <c r="F19" s="18" t="n"/>
      <c r="G19" s="18" t="n"/>
      <c r="H19" s="10" t="n"/>
      <c r="I19" s="16" t="n"/>
      <c r="J19" s="10" t="n"/>
      <c r="K19" s="10" t="n"/>
      <c r="L19" s="10" t="n"/>
      <c r="M19" s="10" t="n"/>
      <c r="N19" s="10" t="n"/>
      <c r="O19" s="10" t="n"/>
      <c r="P19" s="18" t="n"/>
      <c r="Q19" s="19" t="n"/>
      <c r="R19" s="20">
        <f>IF(OR(G19="",Q19=""),"",G19-Q19)</f>
        <v/>
      </c>
      <c r="S19" s="21">
        <f>IF(R19="","",R19-TODAY())</f>
        <v/>
      </c>
      <c r="T19" s="10">
        <f>IF(S19="","",IF(S19&lt;0,"BLOCK",IF(S19&lt;=30,"0-30 days",IF(S19&lt;=60,"31-60 days",IF(S19&lt;=90,"61-90 days",IF(S19&lt;=180,"91-180 days","Monitor"))))))</f>
        <v/>
      </c>
      <c r="U19" s="10" t="n"/>
      <c r="V19" s="10" t="n"/>
      <c r="W19" s="10" t="n"/>
      <c r="X19" s="10" t="n"/>
    </row>
    <row r="20">
      <c r="B20" s="10" t="n"/>
      <c r="C20" s="10" t="n"/>
      <c r="D20" s="10" t="n"/>
      <c r="E20" s="10" t="n"/>
      <c r="F20" s="18" t="n"/>
      <c r="G20" s="18" t="n"/>
      <c r="H20" s="10" t="n"/>
      <c r="I20" s="16" t="n"/>
      <c r="J20" s="10" t="n"/>
      <c r="K20" s="10" t="n"/>
      <c r="L20" s="10" t="n"/>
      <c r="M20" s="10" t="n"/>
      <c r="N20" s="10" t="n"/>
      <c r="O20" s="10" t="n"/>
      <c r="P20" s="18" t="n"/>
      <c r="Q20" s="19" t="n"/>
      <c r="R20" s="20">
        <f>IF(OR(G20="",Q20=""),"",G20-Q20)</f>
        <v/>
      </c>
      <c r="S20" s="21">
        <f>IF(R20="","",R20-TODAY())</f>
        <v/>
      </c>
      <c r="T20" s="10">
        <f>IF(S20="","",IF(S20&lt;0,"BLOCK",IF(S20&lt;=30,"0-30 days",IF(S20&lt;=60,"31-60 days",IF(S20&lt;=90,"61-90 days",IF(S20&lt;=180,"91-180 days","Monitor"))))))</f>
        <v/>
      </c>
      <c r="U20" s="10" t="n"/>
      <c r="V20" s="10" t="n"/>
      <c r="W20" s="10" t="n"/>
      <c r="X20" s="10" t="n"/>
    </row>
    <row r="21">
      <c r="B21" s="10" t="n"/>
      <c r="C21" s="10" t="n"/>
      <c r="D21" s="10" t="n"/>
      <c r="E21" s="10" t="n"/>
      <c r="F21" s="18" t="n"/>
      <c r="G21" s="18" t="n"/>
      <c r="H21" s="10" t="n"/>
      <c r="I21" s="16" t="n"/>
      <c r="J21" s="10" t="n"/>
      <c r="K21" s="10" t="n"/>
      <c r="L21" s="10" t="n"/>
      <c r="M21" s="10" t="n"/>
      <c r="N21" s="10" t="n"/>
      <c r="O21" s="10" t="n"/>
      <c r="P21" s="18" t="n"/>
      <c r="Q21" s="19" t="n"/>
      <c r="R21" s="20">
        <f>IF(OR(G21="",Q21=""),"",G21-Q21)</f>
        <v/>
      </c>
      <c r="S21" s="21">
        <f>IF(R21="","",R21-TODAY())</f>
        <v/>
      </c>
      <c r="T21" s="10">
        <f>IF(S21="","",IF(S21&lt;0,"BLOCK",IF(S21&lt;=30,"0-30 days",IF(S21&lt;=60,"31-60 days",IF(S21&lt;=90,"61-90 days",IF(S21&lt;=180,"91-180 days","Monitor"))))))</f>
        <v/>
      </c>
      <c r="U21" s="10" t="n"/>
      <c r="V21" s="10" t="n"/>
      <c r="W21" s="10" t="n"/>
      <c r="X21" s="10" t="n"/>
    </row>
    <row r="22">
      <c r="B22" s="10" t="n"/>
      <c r="C22" s="10" t="n"/>
      <c r="D22" s="10" t="n"/>
      <c r="E22" s="10" t="n"/>
      <c r="F22" s="18" t="n"/>
      <c r="G22" s="18" t="n"/>
      <c r="H22" s="10" t="n"/>
      <c r="I22" s="16" t="n"/>
      <c r="J22" s="10" t="n"/>
      <c r="K22" s="10" t="n"/>
      <c r="L22" s="10" t="n"/>
      <c r="M22" s="10" t="n"/>
      <c r="N22" s="10" t="n"/>
      <c r="O22" s="10" t="n"/>
      <c r="P22" s="18" t="n"/>
      <c r="Q22" s="19" t="n"/>
      <c r="R22" s="20">
        <f>IF(OR(G22="",Q22=""),"",G22-Q22)</f>
        <v/>
      </c>
      <c r="S22" s="21">
        <f>IF(R22="","",R22-TODAY())</f>
        <v/>
      </c>
      <c r="T22" s="10">
        <f>IF(S22="","",IF(S22&lt;0,"BLOCK",IF(S22&lt;=30,"0-30 days",IF(S22&lt;=60,"31-60 days",IF(S22&lt;=90,"61-90 days",IF(S22&lt;=180,"91-180 days","Monitor"))))))</f>
        <v/>
      </c>
      <c r="U22" s="10" t="n"/>
      <c r="V22" s="10" t="n"/>
      <c r="W22" s="10" t="n"/>
      <c r="X22" s="10" t="n"/>
    </row>
    <row r="23">
      <c r="B23" s="10" t="n"/>
      <c r="C23" s="10" t="n"/>
      <c r="D23" s="10" t="n"/>
      <c r="E23" s="10" t="n"/>
      <c r="F23" s="18" t="n"/>
      <c r="G23" s="18" t="n"/>
      <c r="H23" s="10" t="n"/>
      <c r="I23" s="16" t="n"/>
      <c r="J23" s="10" t="n"/>
      <c r="K23" s="10" t="n"/>
      <c r="L23" s="10" t="n"/>
      <c r="M23" s="10" t="n"/>
      <c r="N23" s="10" t="n"/>
      <c r="O23" s="10" t="n"/>
      <c r="P23" s="18" t="n"/>
      <c r="Q23" s="19" t="n"/>
      <c r="R23" s="20">
        <f>IF(OR(G23="",Q23=""),"",G23-Q23)</f>
        <v/>
      </c>
      <c r="S23" s="21">
        <f>IF(R23="","",R23-TODAY())</f>
        <v/>
      </c>
      <c r="T23" s="10">
        <f>IF(S23="","",IF(S23&lt;0,"BLOCK",IF(S23&lt;=30,"0-30 days",IF(S23&lt;=60,"31-60 days",IF(S23&lt;=90,"61-90 days",IF(S23&lt;=180,"91-180 days","Monitor"))))))</f>
        <v/>
      </c>
      <c r="U23" s="10" t="n"/>
      <c r="V23" s="10" t="n"/>
      <c r="W23" s="10" t="n"/>
      <c r="X23" s="10" t="n"/>
    </row>
    <row r="24">
      <c r="B24" s="10" t="n"/>
      <c r="C24" s="10" t="n"/>
      <c r="D24" s="10" t="n"/>
      <c r="E24" s="10" t="n"/>
      <c r="F24" s="18" t="n"/>
      <c r="G24" s="18" t="n"/>
      <c r="H24" s="10" t="n"/>
      <c r="I24" s="16" t="n"/>
      <c r="J24" s="10" t="n"/>
      <c r="K24" s="10" t="n"/>
      <c r="L24" s="10" t="n"/>
      <c r="M24" s="10" t="n"/>
      <c r="N24" s="10" t="n"/>
      <c r="O24" s="10" t="n"/>
      <c r="P24" s="18" t="n"/>
      <c r="Q24" s="19" t="n"/>
      <c r="R24" s="20">
        <f>IF(OR(G24="",Q24=""),"",G24-Q24)</f>
        <v/>
      </c>
      <c r="S24" s="21">
        <f>IF(R24="","",R24-TODAY())</f>
        <v/>
      </c>
      <c r="T24" s="10">
        <f>IF(S24="","",IF(S24&lt;0,"BLOCK",IF(S24&lt;=30,"0-30 days",IF(S24&lt;=60,"31-60 days",IF(S24&lt;=90,"61-90 days",IF(S24&lt;=180,"91-180 days","Monitor"))))))</f>
        <v/>
      </c>
      <c r="U24" s="10" t="n"/>
      <c r="V24" s="10" t="n"/>
      <c r="W24" s="10" t="n"/>
      <c r="X24" s="10" t="n"/>
    </row>
    <row r="25">
      <c r="B25" s="10" t="n"/>
      <c r="C25" s="10" t="n"/>
      <c r="D25" s="10" t="n"/>
      <c r="E25" s="10" t="n"/>
      <c r="F25" s="18" t="n"/>
      <c r="G25" s="18" t="n"/>
      <c r="H25" s="10" t="n"/>
      <c r="I25" s="16" t="n"/>
      <c r="J25" s="10" t="n"/>
      <c r="K25" s="10" t="n"/>
      <c r="L25" s="10" t="n"/>
      <c r="M25" s="10" t="n"/>
      <c r="N25" s="10" t="n"/>
      <c r="O25" s="10" t="n"/>
      <c r="P25" s="18" t="n"/>
      <c r="Q25" s="19" t="n"/>
      <c r="R25" s="20">
        <f>IF(OR(G25="",Q25=""),"",G25-Q25)</f>
        <v/>
      </c>
      <c r="S25" s="21">
        <f>IF(R25="","",R25-TODAY())</f>
        <v/>
      </c>
      <c r="T25" s="10">
        <f>IF(S25="","",IF(S25&lt;0,"BLOCK",IF(S25&lt;=30,"0-30 days",IF(S25&lt;=60,"31-60 days",IF(S25&lt;=90,"61-90 days",IF(S25&lt;=180,"91-180 days","Monitor"))))))</f>
        <v/>
      </c>
      <c r="U25" s="10" t="n"/>
      <c r="V25" s="10" t="n"/>
      <c r="W25" s="10" t="n"/>
      <c r="X25" s="10" t="n"/>
    </row>
    <row r="26">
      <c r="B26" s="10" t="n"/>
      <c r="C26" s="10" t="n"/>
      <c r="D26" s="10" t="n"/>
      <c r="E26" s="10" t="n"/>
      <c r="F26" s="18" t="n"/>
      <c r="G26" s="18" t="n"/>
      <c r="H26" s="10" t="n"/>
      <c r="I26" s="16" t="n"/>
      <c r="J26" s="10" t="n"/>
      <c r="K26" s="10" t="n"/>
      <c r="L26" s="10" t="n"/>
      <c r="M26" s="10" t="n"/>
      <c r="N26" s="10" t="n"/>
      <c r="O26" s="10" t="n"/>
      <c r="P26" s="18" t="n"/>
      <c r="Q26" s="19" t="n"/>
      <c r="R26" s="20">
        <f>IF(OR(G26="",Q26=""),"",G26-Q26)</f>
        <v/>
      </c>
      <c r="S26" s="21">
        <f>IF(R26="","",R26-TODAY())</f>
        <v/>
      </c>
      <c r="T26" s="10">
        <f>IF(S26="","",IF(S26&lt;0,"BLOCK",IF(S26&lt;=30,"0-30 days",IF(S26&lt;=60,"31-60 days",IF(S26&lt;=90,"61-90 days",IF(S26&lt;=180,"91-180 days","Monitor"))))))</f>
        <v/>
      </c>
      <c r="U26" s="10" t="n"/>
      <c r="V26" s="10" t="n"/>
      <c r="W26" s="10" t="n"/>
      <c r="X26" s="10" t="n"/>
    </row>
    <row r="27">
      <c r="B27" s="10" t="n"/>
      <c r="C27" s="10" t="n"/>
      <c r="D27" s="10" t="n"/>
      <c r="E27" s="10" t="n"/>
      <c r="F27" s="18" t="n"/>
      <c r="G27" s="18" t="n"/>
      <c r="H27" s="10" t="n"/>
      <c r="I27" s="16" t="n"/>
      <c r="J27" s="10" t="n"/>
      <c r="K27" s="10" t="n"/>
      <c r="L27" s="10" t="n"/>
      <c r="M27" s="10" t="n"/>
      <c r="N27" s="10" t="n"/>
      <c r="O27" s="10" t="n"/>
      <c r="P27" s="18" t="n"/>
      <c r="Q27" s="19" t="n"/>
      <c r="R27" s="20">
        <f>IF(OR(G27="",Q27=""),"",G27-Q27)</f>
        <v/>
      </c>
      <c r="S27" s="21">
        <f>IF(R27="","",R27-TODAY())</f>
        <v/>
      </c>
      <c r="T27" s="10">
        <f>IF(S27="","",IF(S27&lt;0,"BLOCK",IF(S27&lt;=30,"0-30 days",IF(S27&lt;=60,"31-60 days",IF(S27&lt;=90,"61-90 days",IF(S27&lt;=180,"91-180 days","Monitor"))))))</f>
        <v/>
      </c>
      <c r="U27" s="10" t="n"/>
      <c r="V27" s="10" t="n"/>
      <c r="W27" s="10" t="n"/>
      <c r="X27" s="10" t="n"/>
    </row>
    <row r="28">
      <c r="B28" s="10" t="n"/>
      <c r="C28" s="10" t="n"/>
      <c r="D28" s="10" t="n"/>
      <c r="E28" s="10" t="n"/>
      <c r="F28" s="18" t="n"/>
      <c r="G28" s="18" t="n"/>
      <c r="H28" s="10" t="n"/>
      <c r="I28" s="16" t="n"/>
      <c r="J28" s="10" t="n"/>
      <c r="K28" s="10" t="n"/>
      <c r="L28" s="10" t="n"/>
      <c r="M28" s="10" t="n"/>
      <c r="N28" s="10" t="n"/>
      <c r="O28" s="10" t="n"/>
      <c r="P28" s="18" t="n"/>
      <c r="Q28" s="19" t="n"/>
      <c r="R28" s="20">
        <f>IF(OR(G28="",Q28=""),"",G28-Q28)</f>
        <v/>
      </c>
      <c r="S28" s="21">
        <f>IF(R28="","",R28-TODAY())</f>
        <v/>
      </c>
      <c r="T28" s="10">
        <f>IF(S28="","",IF(S28&lt;0,"BLOCK",IF(S28&lt;=30,"0-30 days",IF(S28&lt;=60,"31-60 days",IF(S28&lt;=90,"61-90 days",IF(S28&lt;=180,"91-180 days","Monitor"))))))</f>
        <v/>
      </c>
      <c r="U28" s="10" t="n"/>
      <c r="V28" s="10" t="n"/>
      <c r="W28" s="10" t="n"/>
      <c r="X28" s="10" t="n"/>
    </row>
    <row r="29">
      <c r="B29" s="10" t="n"/>
      <c r="C29" s="10" t="n"/>
      <c r="D29" s="10" t="n"/>
      <c r="E29" s="10" t="n"/>
      <c r="F29" s="18" t="n"/>
      <c r="G29" s="18" t="n"/>
      <c r="H29" s="10" t="n"/>
      <c r="I29" s="16" t="n"/>
      <c r="J29" s="10" t="n"/>
      <c r="K29" s="10" t="n"/>
      <c r="L29" s="10" t="n"/>
      <c r="M29" s="10" t="n"/>
      <c r="N29" s="10" t="n"/>
      <c r="O29" s="10" t="n"/>
      <c r="P29" s="18" t="n"/>
      <c r="Q29" s="19" t="n"/>
      <c r="R29" s="20">
        <f>IF(OR(G29="",Q29=""),"",G29-Q29)</f>
        <v/>
      </c>
      <c r="S29" s="21">
        <f>IF(R29="","",R29-TODAY())</f>
        <v/>
      </c>
      <c r="T29" s="10">
        <f>IF(S29="","",IF(S29&lt;0,"BLOCK",IF(S29&lt;=30,"0-30 days",IF(S29&lt;=60,"31-60 days",IF(S29&lt;=90,"61-90 days",IF(S29&lt;=180,"91-180 days","Monitor"))))))</f>
        <v/>
      </c>
      <c r="U29" s="10" t="n"/>
      <c r="V29" s="10" t="n"/>
      <c r="W29" s="10" t="n"/>
      <c r="X29" s="10" t="n"/>
    </row>
    <row r="30">
      <c r="B30" s="10" t="n"/>
      <c r="C30" s="10" t="n"/>
      <c r="D30" s="10" t="n"/>
      <c r="E30" s="10" t="n"/>
      <c r="F30" s="18" t="n"/>
      <c r="G30" s="18" t="n"/>
      <c r="H30" s="10" t="n"/>
      <c r="I30" s="16" t="n"/>
      <c r="J30" s="10" t="n"/>
      <c r="K30" s="10" t="n"/>
      <c r="L30" s="10" t="n"/>
      <c r="M30" s="10" t="n"/>
      <c r="N30" s="10" t="n"/>
      <c r="O30" s="10" t="n"/>
      <c r="P30" s="18" t="n"/>
      <c r="Q30" s="19" t="n"/>
      <c r="R30" s="20">
        <f>IF(OR(G30="",Q30=""),"",G30-Q30)</f>
        <v/>
      </c>
      <c r="S30" s="21">
        <f>IF(R30="","",R30-TODAY())</f>
        <v/>
      </c>
      <c r="T30" s="10">
        <f>IF(S30="","",IF(S30&lt;0,"BLOCK",IF(S30&lt;=30,"0-30 days",IF(S30&lt;=60,"31-60 days",IF(S30&lt;=90,"61-90 days",IF(S30&lt;=180,"91-180 days","Monitor"))))))</f>
        <v/>
      </c>
      <c r="U30" s="10" t="n"/>
      <c r="V30" s="10" t="n"/>
      <c r="W30" s="10" t="n"/>
      <c r="X30" s="10" t="n"/>
    </row>
    <row r="31">
      <c r="B31" s="10" t="n"/>
      <c r="C31" s="10" t="n"/>
      <c r="D31" s="10" t="n"/>
      <c r="E31" s="10" t="n"/>
      <c r="F31" s="18" t="n"/>
      <c r="G31" s="18" t="n"/>
      <c r="H31" s="10" t="n"/>
      <c r="I31" s="16" t="n"/>
      <c r="J31" s="10" t="n"/>
      <c r="K31" s="10" t="n"/>
      <c r="L31" s="10" t="n"/>
      <c r="M31" s="10" t="n"/>
      <c r="N31" s="10" t="n"/>
      <c r="O31" s="10" t="n"/>
      <c r="P31" s="18" t="n"/>
      <c r="Q31" s="19" t="n"/>
      <c r="R31" s="20">
        <f>IF(OR(G31="",Q31=""),"",G31-Q31)</f>
        <v/>
      </c>
      <c r="S31" s="21">
        <f>IF(R31="","",R31-TODAY())</f>
        <v/>
      </c>
      <c r="T31" s="10">
        <f>IF(S31="","",IF(S31&lt;0,"BLOCK",IF(S31&lt;=30,"0-30 days",IF(S31&lt;=60,"31-60 days",IF(S31&lt;=90,"61-90 days",IF(S31&lt;=180,"91-180 days","Monitor"))))))</f>
        <v/>
      </c>
      <c r="U31" s="10" t="n"/>
      <c r="V31" s="10" t="n"/>
      <c r="W31" s="10" t="n"/>
      <c r="X31" s="10" t="n"/>
    </row>
    <row r="32">
      <c r="B32" s="10" t="n"/>
      <c r="C32" s="10" t="n"/>
      <c r="D32" s="10" t="n"/>
      <c r="E32" s="10" t="n"/>
      <c r="F32" s="18" t="n"/>
      <c r="G32" s="18" t="n"/>
      <c r="H32" s="10" t="n"/>
      <c r="I32" s="16" t="n"/>
      <c r="J32" s="10" t="n"/>
      <c r="K32" s="10" t="n"/>
      <c r="L32" s="10" t="n"/>
      <c r="M32" s="10" t="n"/>
      <c r="N32" s="10" t="n"/>
      <c r="O32" s="10" t="n"/>
      <c r="P32" s="18" t="n"/>
      <c r="Q32" s="19" t="n"/>
      <c r="R32" s="20">
        <f>IF(OR(G32="",Q32=""),"",G32-Q32)</f>
        <v/>
      </c>
      <c r="S32" s="21">
        <f>IF(R32="","",R32-TODAY())</f>
        <v/>
      </c>
      <c r="T32" s="10">
        <f>IF(S32="","",IF(S32&lt;0,"BLOCK",IF(S32&lt;=30,"0-30 days",IF(S32&lt;=60,"31-60 days",IF(S32&lt;=90,"61-90 days",IF(S32&lt;=180,"91-180 days","Monitor"))))))</f>
        <v/>
      </c>
      <c r="U32" s="10" t="n"/>
      <c r="V32" s="10" t="n"/>
      <c r="W32" s="10" t="n"/>
      <c r="X32" s="10" t="n"/>
    </row>
    <row r="33">
      <c r="B33" s="10" t="n"/>
      <c r="C33" s="10" t="n"/>
      <c r="D33" s="10" t="n"/>
      <c r="E33" s="10" t="n"/>
      <c r="F33" s="18" t="n"/>
      <c r="G33" s="18" t="n"/>
      <c r="H33" s="10" t="n"/>
      <c r="I33" s="16" t="n"/>
      <c r="J33" s="10" t="n"/>
      <c r="K33" s="10" t="n"/>
      <c r="L33" s="10" t="n"/>
      <c r="M33" s="10" t="n"/>
      <c r="N33" s="10" t="n"/>
      <c r="O33" s="10" t="n"/>
      <c r="P33" s="18" t="n"/>
      <c r="Q33" s="19" t="n"/>
      <c r="R33" s="20">
        <f>IF(OR(G33="",Q33=""),"",G33-Q33)</f>
        <v/>
      </c>
      <c r="S33" s="21">
        <f>IF(R33="","",R33-TODAY())</f>
        <v/>
      </c>
      <c r="T33" s="10">
        <f>IF(S33="","",IF(S33&lt;0,"BLOCK",IF(S33&lt;=30,"0-30 days",IF(S33&lt;=60,"31-60 days",IF(S33&lt;=90,"61-90 days",IF(S33&lt;=180,"91-180 days","Monitor"))))))</f>
        <v/>
      </c>
      <c r="U33" s="10" t="n"/>
      <c r="V33" s="10" t="n"/>
      <c r="W33" s="10" t="n"/>
      <c r="X33" s="10" t="n"/>
    </row>
    <row r="34">
      <c r="B34" s="10" t="n"/>
      <c r="C34" s="10" t="n"/>
      <c r="D34" s="10" t="n"/>
      <c r="E34" s="10" t="n"/>
      <c r="F34" s="18" t="n"/>
      <c r="G34" s="18" t="n"/>
      <c r="H34" s="10" t="n"/>
      <c r="I34" s="16" t="n"/>
      <c r="J34" s="10" t="n"/>
      <c r="K34" s="10" t="n"/>
      <c r="L34" s="10" t="n"/>
      <c r="M34" s="10" t="n"/>
      <c r="N34" s="10" t="n"/>
      <c r="O34" s="10" t="n"/>
      <c r="P34" s="18" t="n"/>
      <c r="Q34" s="19" t="n"/>
      <c r="R34" s="20">
        <f>IF(OR(G34="",Q34=""),"",G34-Q34)</f>
        <v/>
      </c>
      <c r="S34" s="21">
        <f>IF(R34="","",R34-TODAY())</f>
        <v/>
      </c>
      <c r="T34" s="10">
        <f>IF(S34="","",IF(S34&lt;0,"BLOCK",IF(S34&lt;=30,"0-30 days",IF(S34&lt;=60,"31-60 days",IF(S34&lt;=90,"61-90 days",IF(S34&lt;=180,"91-180 days","Monitor"))))))</f>
        <v/>
      </c>
      <c r="U34" s="10" t="n"/>
      <c r="V34" s="10" t="n"/>
      <c r="W34" s="10" t="n"/>
      <c r="X34" s="10" t="n"/>
    </row>
    <row r="35">
      <c r="B35" s="10" t="n"/>
      <c r="C35" s="10" t="n"/>
      <c r="D35" s="10" t="n"/>
      <c r="E35" s="10" t="n"/>
      <c r="F35" s="18" t="n"/>
      <c r="G35" s="18" t="n"/>
      <c r="H35" s="10" t="n"/>
      <c r="I35" s="16" t="n"/>
      <c r="J35" s="10" t="n"/>
      <c r="K35" s="10" t="n"/>
      <c r="L35" s="10" t="n"/>
      <c r="M35" s="10" t="n"/>
      <c r="N35" s="10" t="n"/>
      <c r="O35" s="10" t="n"/>
      <c r="P35" s="18" t="n"/>
      <c r="Q35" s="19" t="n"/>
      <c r="R35" s="20">
        <f>IF(OR(G35="",Q35=""),"",G35-Q35)</f>
        <v/>
      </c>
      <c r="S35" s="21">
        <f>IF(R35="","",R35-TODAY())</f>
        <v/>
      </c>
      <c r="T35" s="10">
        <f>IF(S35="","",IF(S35&lt;0,"BLOCK",IF(S35&lt;=30,"0-30 days",IF(S35&lt;=60,"31-60 days",IF(S35&lt;=90,"61-90 days",IF(S35&lt;=180,"91-180 days","Monitor"))))))</f>
        <v/>
      </c>
      <c r="U35" s="10" t="n"/>
      <c r="V35" s="10" t="n"/>
      <c r="W35" s="10" t="n"/>
      <c r="X35" s="10" t="n"/>
    </row>
    <row r="36">
      <c r="B36" s="10" t="n"/>
      <c r="C36" s="10" t="n"/>
      <c r="D36" s="10" t="n"/>
      <c r="E36" s="10" t="n"/>
      <c r="F36" s="18" t="n"/>
      <c r="G36" s="18" t="n"/>
      <c r="H36" s="10" t="n"/>
      <c r="I36" s="16" t="n"/>
      <c r="J36" s="10" t="n"/>
      <c r="K36" s="10" t="n"/>
      <c r="L36" s="10" t="n"/>
      <c r="M36" s="10" t="n"/>
      <c r="N36" s="10" t="n"/>
      <c r="O36" s="10" t="n"/>
      <c r="P36" s="18" t="n"/>
      <c r="Q36" s="19" t="n"/>
      <c r="R36" s="20">
        <f>IF(OR(G36="",Q36=""),"",G36-Q36)</f>
        <v/>
      </c>
      <c r="S36" s="21">
        <f>IF(R36="","",R36-TODAY())</f>
        <v/>
      </c>
      <c r="T36" s="10">
        <f>IF(S36="","",IF(S36&lt;0,"BLOCK",IF(S36&lt;=30,"0-30 days",IF(S36&lt;=60,"31-60 days",IF(S36&lt;=90,"61-90 days",IF(S36&lt;=180,"91-180 days","Monitor"))))))</f>
        <v/>
      </c>
      <c r="U36" s="10" t="n"/>
      <c r="V36" s="10" t="n"/>
      <c r="W36" s="10" t="n"/>
      <c r="X36" s="10" t="n"/>
    </row>
    <row r="37">
      <c r="B37" s="10" t="n"/>
      <c r="C37" s="10" t="n"/>
      <c r="D37" s="10" t="n"/>
      <c r="E37" s="10" t="n"/>
      <c r="F37" s="18" t="n"/>
      <c r="G37" s="18" t="n"/>
      <c r="H37" s="10" t="n"/>
      <c r="I37" s="16" t="n"/>
      <c r="J37" s="10" t="n"/>
      <c r="K37" s="10" t="n"/>
      <c r="L37" s="10" t="n"/>
      <c r="M37" s="10" t="n"/>
      <c r="N37" s="10" t="n"/>
      <c r="O37" s="10" t="n"/>
      <c r="P37" s="18" t="n"/>
      <c r="Q37" s="19" t="n"/>
      <c r="R37" s="20">
        <f>IF(OR(G37="",Q37=""),"",G37-Q37)</f>
        <v/>
      </c>
      <c r="S37" s="21">
        <f>IF(R37="","",R37-TODAY())</f>
        <v/>
      </c>
      <c r="T37" s="10">
        <f>IF(S37="","",IF(S37&lt;0,"BLOCK",IF(S37&lt;=30,"0-30 days",IF(S37&lt;=60,"31-60 days",IF(S37&lt;=90,"61-90 days",IF(S37&lt;=180,"91-180 days","Monitor"))))))</f>
        <v/>
      </c>
      <c r="U37" s="10" t="n"/>
      <c r="V37" s="10" t="n"/>
      <c r="W37" s="10" t="n"/>
      <c r="X37" s="10" t="n"/>
    </row>
    <row r="38">
      <c r="B38" s="10" t="n"/>
      <c r="C38" s="10" t="n"/>
      <c r="D38" s="10" t="n"/>
      <c r="E38" s="10" t="n"/>
      <c r="F38" s="18" t="n"/>
      <c r="G38" s="18" t="n"/>
      <c r="H38" s="10" t="n"/>
      <c r="I38" s="16" t="n"/>
      <c r="J38" s="10" t="n"/>
      <c r="K38" s="10" t="n"/>
      <c r="L38" s="10" t="n"/>
      <c r="M38" s="10" t="n"/>
      <c r="N38" s="10" t="n"/>
      <c r="O38" s="10" t="n"/>
      <c r="P38" s="18" t="n"/>
      <c r="Q38" s="19" t="n"/>
      <c r="R38" s="20">
        <f>IF(OR(G38="",Q38=""),"",G38-Q38)</f>
        <v/>
      </c>
      <c r="S38" s="21">
        <f>IF(R38="","",R38-TODAY())</f>
        <v/>
      </c>
      <c r="T38" s="10">
        <f>IF(S38="","",IF(S38&lt;0,"BLOCK",IF(S38&lt;=30,"0-30 days",IF(S38&lt;=60,"31-60 days",IF(S38&lt;=90,"61-90 days",IF(S38&lt;=180,"91-180 days","Monitor"))))))</f>
        <v/>
      </c>
      <c r="U38" s="10" t="n"/>
      <c r="V38" s="10" t="n"/>
      <c r="W38" s="10" t="n"/>
      <c r="X38" s="10" t="n"/>
    </row>
    <row r="39">
      <c r="B39" s="10" t="n"/>
      <c r="C39" s="10" t="n"/>
      <c r="D39" s="10" t="n"/>
      <c r="E39" s="10" t="n"/>
      <c r="F39" s="18" t="n"/>
      <c r="G39" s="18" t="n"/>
      <c r="H39" s="10" t="n"/>
      <c r="I39" s="16" t="n"/>
      <c r="J39" s="10" t="n"/>
      <c r="K39" s="10" t="n"/>
      <c r="L39" s="10" t="n"/>
      <c r="M39" s="10" t="n"/>
      <c r="N39" s="10" t="n"/>
      <c r="O39" s="10" t="n"/>
      <c r="P39" s="18" t="n"/>
      <c r="Q39" s="19" t="n"/>
      <c r="R39" s="20">
        <f>IF(OR(G39="",Q39=""),"",G39-Q39)</f>
        <v/>
      </c>
      <c r="S39" s="21">
        <f>IF(R39="","",R39-TODAY())</f>
        <v/>
      </c>
      <c r="T39" s="10">
        <f>IF(S39="","",IF(S39&lt;0,"BLOCK",IF(S39&lt;=30,"0-30 days",IF(S39&lt;=60,"31-60 days",IF(S39&lt;=90,"61-90 days",IF(S39&lt;=180,"91-180 days","Monitor"))))))</f>
        <v/>
      </c>
      <c r="U39" s="10" t="n"/>
      <c r="V39" s="10" t="n"/>
      <c r="W39" s="10" t="n"/>
      <c r="X39" s="10" t="n"/>
    </row>
    <row r="40">
      <c r="B40" s="10" t="n"/>
      <c r="C40" s="10" t="n"/>
      <c r="D40" s="10" t="n"/>
      <c r="E40" s="10" t="n"/>
      <c r="F40" s="18" t="n"/>
      <c r="G40" s="18" t="n"/>
      <c r="H40" s="10" t="n"/>
      <c r="I40" s="16" t="n"/>
      <c r="J40" s="10" t="n"/>
      <c r="K40" s="10" t="n"/>
      <c r="L40" s="10" t="n"/>
      <c r="M40" s="10" t="n"/>
      <c r="N40" s="10" t="n"/>
      <c r="O40" s="10" t="n"/>
      <c r="P40" s="18" t="n"/>
      <c r="Q40" s="19" t="n"/>
      <c r="R40" s="20">
        <f>IF(OR(G40="",Q40=""),"",G40-Q40)</f>
        <v/>
      </c>
      <c r="S40" s="21">
        <f>IF(R40="","",R40-TODAY())</f>
        <v/>
      </c>
      <c r="T40" s="10">
        <f>IF(S40="","",IF(S40&lt;0,"BLOCK",IF(S40&lt;=30,"0-30 days",IF(S40&lt;=60,"31-60 days",IF(S40&lt;=90,"61-90 days",IF(S40&lt;=180,"91-180 days","Monitor"))))))</f>
        <v/>
      </c>
      <c r="U40" s="10" t="n"/>
      <c r="V40" s="10" t="n"/>
      <c r="W40" s="10" t="n"/>
      <c r="X40" s="10" t="n"/>
    </row>
    <row r="41">
      <c r="B41" s="10" t="n"/>
      <c r="C41" s="10" t="n"/>
      <c r="D41" s="10" t="n"/>
      <c r="E41" s="10" t="n"/>
      <c r="F41" s="18" t="n"/>
      <c r="G41" s="18" t="n"/>
      <c r="H41" s="10" t="n"/>
      <c r="I41" s="16" t="n"/>
      <c r="J41" s="10" t="n"/>
      <c r="K41" s="10" t="n"/>
      <c r="L41" s="10" t="n"/>
      <c r="M41" s="10" t="n"/>
      <c r="N41" s="10" t="n"/>
      <c r="O41" s="10" t="n"/>
      <c r="P41" s="18" t="n"/>
      <c r="Q41" s="19" t="n"/>
      <c r="R41" s="20">
        <f>IF(OR(G41="",Q41=""),"",G41-Q41)</f>
        <v/>
      </c>
      <c r="S41" s="21">
        <f>IF(R41="","",R41-TODAY())</f>
        <v/>
      </c>
      <c r="T41" s="10">
        <f>IF(S41="","",IF(S41&lt;0,"BLOCK",IF(S41&lt;=30,"0-30 days",IF(S41&lt;=60,"31-60 days",IF(S41&lt;=90,"61-90 days",IF(S41&lt;=180,"91-180 days","Monitor"))))))</f>
        <v/>
      </c>
      <c r="U41" s="10" t="n"/>
      <c r="V41" s="10" t="n"/>
      <c r="W41" s="10" t="n"/>
      <c r="X41" s="10" t="n"/>
    </row>
    <row r="42">
      <c r="B42" s="10" t="n"/>
      <c r="C42" s="10" t="n"/>
      <c r="D42" s="10" t="n"/>
      <c r="E42" s="10" t="n"/>
      <c r="F42" s="18" t="n"/>
      <c r="G42" s="18" t="n"/>
      <c r="H42" s="10" t="n"/>
      <c r="I42" s="16" t="n"/>
      <c r="J42" s="10" t="n"/>
      <c r="K42" s="10" t="n"/>
      <c r="L42" s="10" t="n"/>
      <c r="M42" s="10" t="n"/>
      <c r="N42" s="10" t="n"/>
      <c r="O42" s="10" t="n"/>
      <c r="P42" s="18" t="n"/>
      <c r="Q42" s="19" t="n"/>
      <c r="R42" s="20">
        <f>IF(OR(G42="",Q42=""),"",G42-Q42)</f>
        <v/>
      </c>
      <c r="S42" s="21">
        <f>IF(R42="","",R42-TODAY())</f>
        <v/>
      </c>
      <c r="T42" s="10">
        <f>IF(S42="","",IF(S42&lt;0,"BLOCK",IF(S42&lt;=30,"0-30 days",IF(S42&lt;=60,"31-60 days",IF(S42&lt;=90,"61-90 days",IF(S42&lt;=180,"91-180 days","Monitor"))))))</f>
        <v/>
      </c>
      <c r="U42" s="10" t="n"/>
      <c r="V42" s="10" t="n"/>
      <c r="W42" s="10" t="n"/>
      <c r="X42" s="10" t="n"/>
    </row>
    <row r="43">
      <c r="B43" s="10" t="n"/>
      <c r="C43" s="10" t="n"/>
      <c r="D43" s="10" t="n"/>
      <c r="E43" s="10" t="n"/>
      <c r="F43" s="18" t="n"/>
      <c r="G43" s="18" t="n"/>
      <c r="H43" s="10" t="n"/>
      <c r="I43" s="16" t="n"/>
      <c r="J43" s="10" t="n"/>
      <c r="K43" s="10" t="n"/>
      <c r="L43" s="10" t="n"/>
      <c r="M43" s="10" t="n"/>
      <c r="N43" s="10" t="n"/>
      <c r="O43" s="10" t="n"/>
      <c r="P43" s="18" t="n"/>
      <c r="Q43" s="19" t="n"/>
      <c r="R43" s="20">
        <f>IF(OR(G43="",Q43=""),"",G43-Q43)</f>
        <v/>
      </c>
      <c r="S43" s="21">
        <f>IF(R43="","",R43-TODAY())</f>
        <v/>
      </c>
      <c r="T43" s="10">
        <f>IF(S43="","",IF(S43&lt;0,"BLOCK",IF(S43&lt;=30,"0-30 days",IF(S43&lt;=60,"31-60 days",IF(S43&lt;=90,"61-90 days",IF(S43&lt;=180,"91-180 days","Monitor"))))))</f>
        <v/>
      </c>
      <c r="U43" s="10" t="n"/>
      <c r="V43" s="10" t="n"/>
      <c r="W43" s="10" t="n"/>
      <c r="X43" s="10" t="n"/>
    </row>
    <row r="44">
      <c r="B44" s="10" t="n"/>
      <c r="C44" s="10" t="n"/>
      <c r="D44" s="10" t="n"/>
      <c r="E44" s="10" t="n"/>
      <c r="F44" s="18" t="n"/>
      <c r="G44" s="18" t="n"/>
      <c r="H44" s="10" t="n"/>
      <c r="I44" s="16" t="n"/>
      <c r="J44" s="10" t="n"/>
      <c r="K44" s="10" t="n"/>
      <c r="L44" s="10" t="n"/>
      <c r="M44" s="10" t="n"/>
      <c r="N44" s="10" t="n"/>
      <c r="O44" s="10" t="n"/>
      <c r="P44" s="18" t="n"/>
      <c r="Q44" s="19" t="n"/>
      <c r="R44" s="20">
        <f>IF(OR(G44="",Q44=""),"",G44-Q44)</f>
        <v/>
      </c>
      <c r="S44" s="21">
        <f>IF(R44="","",R44-TODAY())</f>
        <v/>
      </c>
      <c r="T44" s="10">
        <f>IF(S44="","",IF(S44&lt;0,"BLOCK",IF(S44&lt;=30,"0-30 days",IF(S44&lt;=60,"31-60 days",IF(S44&lt;=90,"61-90 days",IF(S44&lt;=180,"91-180 days","Monitor"))))))</f>
        <v/>
      </c>
      <c r="U44" s="10" t="n"/>
      <c r="V44" s="10" t="n"/>
      <c r="W44" s="10" t="n"/>
      <c r="X44" s="10" t="n"/>
    </row>
    <row r="45">
      <c r="B45" s="10" t="n"/>
      <c r="C45" s="10" t="n"/>
      <c r="D45" s="10" t="n"/>
      <c r="E45" s="10" t="n"/>
      <c r="F45" s="18" t="n"/>
      <c r="G45" s="18" t="n"/>
      <c r="H45" s="10" t="n"/>
      <c r="I45" s="16" t="n"/>
      <c r="J45" s="10" t="n"/>
      <c r="K45" s="10" t="n"/>
      <c r="L45" s="10" t="n"/>
      <c r="M45" s="10" t="n"/>
      <c r="N45" s="10" t="n"/>
      <c r="O45" s="10" t="n"/>
      <c r="P45" s="18" t="n"/>
      <c r="Q45" s="19" t="n"/>
      <c r="R45" s="20">
        <f>IF(OR(G45="",Q45=""),"",G45-Q45)</f>
        <v/>
      </c>
      <c r="S45" s="21">
        <f>IF(R45="","",R45-TODAY())</f>
        <v/>
      </c>
      <c r="T45" s="10">
        <f>IF(S45="","",IF(S45&lt;0,"BLOCK",IF(S45&lt;=30,"0-30 days",IF(S45&lt;=60,"31-60 days",IF(S45&lt;=90,"61-90 days",IF(S45&lt;=180,"91-180 days","Monitor"))))))</f>
        <v/>
      </c>
      <c r="U45" s="10" t="n"/>
      <c r="V45" s="10" t="n"/>
      <c r="W45" s="10" t="n"/>
      <c r="X45" s="10" t="n"/>
    </row>
    <row r="46">
      <c r="B46" s="10" t="n"/>
      <c r="C46" s="10" t="n"/>
      <c r="D46" s="10" t="n"/>
      <c r="E46" s="10" t="n"/>
      <c r="F46" s="18" t="n"/>
      <c r="G46" s="18" t="n"/>
      <c r="H46" s="10" t="n"/>
      <c r="I46" s="16" t="n"/>
      <c r="J46" s="10" t="n"/>
      <c r="K46" s="10" t="n"/>
      <c r="L46" s="10" t="n"/>
      <c r="M46" s="10" t="n"/>
      <c r="N46" s="10" t="n"/>
      <c r="O46" s="10" t="n"/>
      <c r="P46" s="18" t="n"/>
      <c r="Q46" s="19" t="n"/>
      <c r="R46" s="20">
        <f>IF(OR(G46="",Q46=""),"",G46-Q46)</f>
        <v/>
      </c>
      <c r="S46" s="21">
        <f>IF(R46="","",R46-TODAY())</f>
        <v/>
      </c>
      <c r="T46" s="10">
        <f>IF(S46="","",IF(S46&lt;0,"BLOCK",IF(S46&lt;=30,"0-30 days",IF(S46&lt;=60,"31-60 days",IF(S46&lt;=90,"61-90 days",IF(S46&lt;=180,"91-180 days","Monitor"))))))</f>
        <v/>
      </c>
      <c r="U46" s="10" t="n"/>
      <c r="V46" s="10" t="n"/>
      <c r="W46" s="10" t="n"/>
      <c r="X46" s="10" t="n"/>
    </row>
    <row r="47">
      <c r="B47" s="10" t="n"/>
      <c r="C47" s="10" t="n"/>
      <c r="D47" s="10" t="n"/>
      <c r="E47" s="10" t="n"/>
      <c r="F47" s="18" t="n"/>
      <c r="G47" s="18" t="n"/>
      <c r="H47" s="10" t="n"/>
      <c r="I47" s="16" t="n"/>
      <c r="J47" s="10" t="n"/>
      <c r="K47" s="10" t="n"/>
      <c r="L47" s="10" t="n"/>
      <c r="M47" s="10" t="n"/>
      <c r="N47" s="10" t="n"/>
      <c r="O47" s="10" t="n"/>
      <c r="P47" s="18" t="n"/>
      <c r="Q47" s="19" t="n"/>
      <c r="R47" s="20">
        <f>IF(OR(G47="",Q47=""),"",G47-Q47)</f>
        <v/>
      </c>
      <c r="S47" s="21">
        <f>IF(R47="","",R47-TODAY())</f>
        <v/>
      </c>
      <c r="T47" s="10">
        <f>IF(S47="","",IF(S47&lt;0,"BLOCK",IF(S47&lt;=30,"0-30 days",IF(S47&lt;=60,"31-60 days",IF(S47&lt;=90,"61-90 days",IF(S47&lt;=180,"91-180 days","Monitor"))))))</f>
        <v/>
      </c>
      <c r="U47" s="10" t="n"/>
      <c r="V47" s="10" t="n"/>
      <c r="W47" s="10" t="n"/>
      <c r="X47" s="10" t="n"/>
    </row>
    <row r="48">
      <c r="B48" s="10" t="n"/>
      <c r="C48" s="10" t="n"/>
      <c r="D48" s="10" t="n"/>
      <c r="E48" s="10" t="n"/>
      <c r="F48" s="18" t="n"/>
      <c r="G48" s="18" t="n"/>
      <c r="H48" s="10" t="n"/>
      <c r="I48" s="16" t="n"/>
      <c r="J48" s="10" t="n"/>
      <c r="K48" s="10" t="n"/>
      <c r="L48" s="10" t="n"/>
      <c r="M48" s="10" t="n"/>
      <c r="N48" s="10" t="n"/>
      <c r="O48" s="10" t="n"/>
      <c r="P48" s="18" t="n"/>
      <c r="Q48" s="19" t="n"/>
      <c r="R48" s="20">
        <f>IF(OR(G48="",Q48=""),"",G48-Q48)</f>
        <v/>
      </c>
      <c r="S48" s="21">
        <f>IF(R48="","",R48-TODAY())</f>
        <v/>
      </c>
      <c r="T48" s="10">
        <f>IF(S48="","",IF(S48&lt;0,"BLOCK",IF(S48&lt;=30,"0-30 days",IF(S48&lt;=60,"31-60 days",IF(S48&lt;=90,"61-90 days",IF(S48&lt;=180,"91-180 days","Monitor"))))))</f>
        <v/>
      </c>
      <c r="U48" s="10" t="n"/>
      <c r="V48" s="10" t="n"/>
      <c r="W48" s="10" t="n"/>
      <c r="X48" s="10" t="n"/>
    </row>
    <row r="49">
      <c r="B49" s="10" t="n"/>
      <c r="C49" s="10" t="n"/>
      <c r="D49" s="10" t="n"/>
      <c r="E49" s="10" t="n"/>
      <c r="F49" s="18" t="n"/>
      <c r="G49" s="18" t="n"/>
      <c r="H49" s="10" t="n"/>
      <c r="I49" s="16" t="n"/>
      <c r="J49" s="10" t="n"/>
      <c r="K49" s="10" t="n"/>
      <c r="L49" s="10" t="n"/>
      <c r="M49" s="10" t="n"/>
      <c r="N49" s="10" t="n"/>
      <c r="O49" s="10" t="n"/>
      <c r="P49" s="18" t="n"/>
      <c r="Q49" s="19" t="n"/>
      <c r="R49" s="20">
        <f>IF(OR(G49="",Q49=""),"",G49-Q49)</f>
        <v/>
      </c>
      <c r="S49" s="21">
        <f>IF(R49="","",R49-TODAY())</f>
        <v/>
      </c>
      <c r="T49" s="10">
        <f>IF(S49="","",IF(S49&lt;0,"BLOCK",IF(S49&lt;=30,"0-30 days",IF(S49&lt;=60,"31-60 days",IF(S49&lt;=90,"61-90 days",IF(S49&lt;=180,"91-180 days","Monitor"))))))</f>
        <v/>
      </c>
      <c r="U49" s="10" t="n"/>
      <c r="V49" s="10" t="n"/>
      <c r="W49" s="10" t="n"/>
      <c r="X49" s="10" t="n"/>
    </row>
    <row r="50">
      <c r="B50" s="10" t="n"/>
      <c r="C50" s="10" t="n"/>
      <c r="D50" s="10" t="n"/>
      <c r="E50" s="10" t="n"/>
      <c r="F50" s="18" t="n"/>
      <c r="G50" s="18" t="n"/>
      <c r="H50" s="10" t="n"/>
      <c r="I50" s="16" t="n"/>
      <c r="J50" s="10" t="n"/>
      <c r="K50" s="10" t="n"/>
      <c r="L50" s="10" t="n"/>
      <c r="M50" s="10" t="n"/>
      <c r="N50" s="10" t="n"/>
      <c r="O50" s="10" t="n"/>
      <c r="P50" s="18" t="n"/>
      <c r="Q50" s="19" t="n"/>
      <c r="R50" s="20">
        <f>IF(OR(G50="",Q50=""),"",G50-Q50)</f>
        <v/>
      </c>
      <c r="S50" s="21">
        <f>IF(R50="","",R50-TODAY())</f>
        <v/>
      </c>
      <c r="T50" s="10">
        <f>IF(S50="","",IF(S50&lt;0,"BLOCK",IF(S50&lt;=30,"0-30 days",IF(S50&lt;=60,"31-60 days",IF(S50&lt;=90,"61-90 days",IF(S50&lt;=180,"91-180 days","Monitor"))))))</f>
        <v/>
      </c>
      <c r="U50" s="10" t="n"/>
      <c r="V50" s="10" t="n"/>
      <c r="W50" s="10" t="n"/>
      <c r="X50" s="10" t="n"/>
    </row>
    <row r="51">
      <c r="B51" s="10" t="n"/>
      <c r="C51" s="10" t="n"/>
      <c r="D51" s="10" t="n"/>
      <c r="E51" s="10" t="n"/>
      <c r="F51" s="18" t="n"/>
      <c r="G51" s="18" t="n"/>
      <c r="H51" s="10" t="n"/>
      <c r="I51" s="16" t="n"/>
      <c r="J51" s="10" t="n"/>
      <c r="K51" s="10" t="n"/>
      <c r="L51" s="10" t="n"/>
      <c r="M51" s="10" t="n"/>
      <c r="N51" s="10" t="n"/>
      <c r="O51" s="10" t="n"/>
      <c r="P51" s="18" t="n"/>
      <c r="Q51" s="19" t="n"/>
      <c r="R51" s="20">
        <f>IF(OR(G51="",Q51=""),"",G51-Q51)</f>
        <v/>
      </c>
      <c r="S51" s="21">
        <f>IF(R51="","",R51-TODAY())</f>
        <v/>
      </c>
      <c r="T51" s="10">
        <f>IF(S51="","",IF(S51&lt;0,"BLOCK",IF(S51&lt;=30,"0-30 days",IF(S51&lt;=60,"31-60 days",IF(S51&lt;=90,"61-90 days",IF(S51&lt;=180,"91-180 days","Monitor"))))))</f>
        <v/>
      </c>
      <c r="U51" s="10" t="n"/>
      <c r="V51" s="10" t="n"/>
      <c r="W51" s="10" t="n"/>
      <c r="X51" s="10" t="n"/>
    </row>
    <row r="52">
      <c r="B52" s="10" t="n"/>
      <c r="C52" s="10" t="n"/>
      <c r="D52" s="10" t="n"/>
      <c r="E52" s="10" t="n"/>
      <c r="F52" s="18" t="n"/>
      <c r="G52" s="18" t="n"/>
      <c r="H52" s="10" t="n"/>
      <c r="I52" s="16" t="n"/>
      <c r="J52" s="10" t="n"/>
      <c r="K52" s="10" t="n"/>
      <c r="L52" s="10" t="n"/>
      <c r="M52" s="10" t="n"/>
      <c r="N52" s="10" t="n"/>
      <c r="O52" s="10" t="n"/>
      <c r="P52" s="18" t="n"/>
      <c r="Q52" s="19" t="n"/>
      <c r="R52" s="20">
        <f>IF(OR(G52="",Q52=""),"",G52-Q52)</f>
        <v/>
      </c>
      <c r="S52" s="21">
        <f>IF(R52="","",R52-TODAY())</f>
        <v/>
      </c>
      <c r="T52" s="10">
        <f>IF(S52="","",IF(S52&lt;0,"BLOCK",IF(S52&lt;=30,"0-30 days",IF(S52&lt;=60,"31-60 days",IF(S52&lt;=90,"61-90 days",IF(S52&lt;=180,"91-180 days","Monitor"))))))</f>
        <v/>
      </c>
      <c r="U52" s="10" t="n"/>
      <c r="V52" s="10" t="n"/>
      <c r="W52" s="10" t="n"/>
      <c r="X52" s="10" t="n"/>
    </row>
    <row r="53">
      <c r="B53" s="10" t="n"/>
      <c r="C53" s="10" t="n"/>
      <c r="D53" s="10" t="n"/>
      <c r="E53" s="10" t="n"/>
      <c r="F53" s="18" t="n"/>
      <c r="G53" s="18" t="n"/>
      <c r="H53" s="10" t="n"/>
      <c r="I53" s="16" t="n"/>
      <c r="J53" s="10" t="n"/>
      <c r="K53" s="10" t="n"/>
      <c r="L53" s="10" t="n"/>
      <c r="M53" s="10" t="n"/>
      <c r="N53" s="10" t="n"/>
      <c r="O53" s="10" t="n"/>
      <c r="P53" s="18" t="n"/>
      <c r="Q53" s="19" t="n"/>
      <c r="R53" s="20">
        <f>IF(OR(G53="",Q53=""),"",G53-Q53)</f>
        <v/>
      </c>
      <c r="S53" s="21">
        <f>IF(R53="","",R53-TODAY())</f>
        <v/>
      </c>
      <c r="T53" s="10">
        <f>IF(S53="","",IF(S53&lt;0,"BLOCK",IF(S53&lt;=30,"0-30 days",IF(S53&lt;=60,"31-60 days",IF(S53&lt;=90,"61-90 days",IF(S53&lt;=180,"91-180 days","Monitor"))))))</f>
        <v/>
      </c>
      <c r="U53" s="10" t="n"/>
      <c r="V53" s="10" t="n"/>
      <c r="W53" s="10" t="n"/>
      <c r="X53" s="10" t="n"/>
    </row>
    <row r="54">
      <c r="B54" s="10" t="n"/>
      <c r="C54" s="10" t="n"/>
      <c r="D54" s="10" t="n"/>
      <c r="E54" s="10" t="n"/>
      <c r="F54" s="18" t="n"/>
      <c r="G54" s="18" t="n"/>
      <c r="H54" s="10" t="n"/>
      <c r="I54" s="16" t="n"/>
      <c r="J54" s="10" t="n"/>
      <c r="K54" s="10" t="n"/>
      <c r="L54" s="10" t="n"/>
      <c r="M54" s="10" t="n"/>
      <c r="N54" s="10" t="n"/>
      <c r="O54" s="10" t="n"/>
      <c r="P54" s="18" t="n"/>
      <c r="Q54" s="19" t="n"/>
      <c r="R54" s="20">
        <f>IF(OR(G54="",Q54=""),"",G54-Q54)</f>
        <v/>
      </c>
      <c r="S54" s="21">
        <f>IF(R54="","",R54-TODAY())</f>
        <v/>
      </c>
      <c r="T54" s="10">
        <f>IF(S54="","",IF(S54&lt;0,"BLOCK",IF(S54&lt;=30,"0-30 days",IF(S54&lt;=60,"31-60 days",IF(S54&lt;=90,"61-90 days",IF(S54&lt;=180,"91-180 days","Monitor"))))))</f>
        <v/>
      </c>
      <c r="U54" s="10" t="n"/>
      <c r="V54" s="10" t="n"/>
      <c r="W54" s="10" t="n"/>
      <c r="X54" s="10" t="n"/>
    </row>
    <row r="55">
      <c r="B55" s="10" t="n"/>
      <c r="C55" s="10" t="n"/>
      <c r="D55" s="10" t="n"/>
      <c r="E55" s="10" t="n"/>
      <c r="F55" s="18" t="n"/>
      <c r="G55" s="18" t="n"/>
      <c r="H55" s="10" t="n"/>
      <c r="I55" s="16" t="n"/>
      <c r="J55" s="10" t="n"/>
      <c r="K55" s="10" t="n"/>
      <c r="L55" s="10" t="n"/>
      <c r="M55" s="10" t="n"/>
      <c r="N55" s="10" t="n"/>
      <c r="O55" s="10" t="n"/>
      <c r="P55" s="18" t="n"/>
      <c r="Q55" s="19" t="n"/>
      <c r="R55" s="20">
        <f>IF(OR(G55="",Q55=""),"",G55-Q55)</f>
        <v/>
      </c>
      <c r="S55" s="21">
        <f>IF(R55="","",R55-TODAY())</f>
        <v/>
      </c>
      <c r="T55" s="10">
        <f>IF(S55="","",IF(S55&lt;0,"BLOCK",IF(S55&lt;=30,"0-30 days",IF(S55&lt;=60,"31-60 days",IF(S55&lt;=90,"61-90 days",IF(S55&lt;=180,"91-180 days","Monitor"))))))</f>
        <v/>
      </c>
      <c r="U55" s="10" t="n"/>
      <c r="V55" s="10" t="n"/>
      <c r="W55" s="10" t="n"/>
      <c r="X55" s="10" t="n"/>
    </row>
    <row r="56">
      <c r="B56" s="10" t="n"/>
      <c r="C56" s="10" t="n"/>
      <c r="D56" s="10" t="n"/>
      <c r="E56" s="10" t="n"/>
      <c r="F56" s="18" t="n"/>
      <c r="G56" s="18" t="n"/>
      <c r="H56" s="10" t="n"/>
      <c r="I56" s="16" t="n"/>
      <c r="J56" s="10" t="n"/>
      <c r="K56" s="10" t="n"/>
      <c r="L56" s="10" t="n"/>
      <c r="M56" s="10" t="n"/>
      <c r="N56" s="10" t="n"/>
      <c r="O56" s="10" t="n"/>
      <c r="P56" s="18" t="n"/>
      <c r="Q56" s="19" t="n"/>
      <c r="R56" s="20">
        <f>IF(OR(G56="",Q56=""),"",G56-Q56)</f>
        <v/>
      </c>
      <c r="S56" s="21">
        <f>IF(R56="","",R56-TODAY())</f>
        <v/>
      </c>
      <c r="T56" s="10">
        <f>IF(S56="","",IF(S56&lt;0,"BLOCK",IF(S56&lt;=30,"0-30 days",IF(S56&lt;=60,"31-60 days",IF(S56&lt;=90,"61-90 days",IF(S56&lt;=180,"91-180 days","Monitor"))))))</f>
        <v/>
      </c>
      <c r="U56" s="10" t="n"/>
      <c r="V56" s="10" t="n"/>
      <c r="W56" s="10" t="n"/>
      <c r="X56" s="10" t="n"/>
    </row>
  </sheetData>
  <conditionalFormatting sqref="H7:H56">
    <cfRule type="expression" priority="1" dxfId="1">
      <formula>$H7="RELEASED"</formula>
    </cfRule>
    <cfRule type="expression" priority="2" dxfId="0">
      <formula>$H7&lt;&gt;"RELEASED"</formula>
    </cfRule>
  </conditionalFormatting>
  <conditionalFormatting sqref="T7:T56">
    <cfRule type="expression" priority="3" dxfId="0">
      <formula>$T7="BLOCK"</formula>
    </cfRule>
  </conditionalFormatting>
  <dataValidations count="2">
    <dataValidation sqref="H7:H56" showDropDown="0" showInputMessage="0" showErrorMessage="0" allowBlank="0" type="list">
      <formula1>"QUARANTINE,RELEASED,REJECTED,RETURN-QUARANTINE,QUALITY-HOLD,RECALL-HOLD,EXPIRED,DESTRUCTION-PENDING,DESTROYED"</formula1>
    </dataValidation>
    <dataValidation sqref="N7:N56" showDropDown="0" showInputMessage="0" showErrorMessage="0" allowBlank="0" type="list">
      <formula1>"Qualified ambient,Refrigerated,Frozen/ultra-low,Secure/controlled,Dangerous-goods overlay"</formula1>
    </dataValidation>
  </dataValidation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H50"/>
  <sheetViews>
    <sheetView showGridLines="0" workbookViewId="0">
      <pane xSplit="1" ySplit="6" topLeftCell="B7" activePane="bottomRight" state="frozen"/>
      <selection pane="topRight"/>
      <selection pane="bottomLeft"/>
      <selection pane="bottom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2" customWidth="1" min="2" max="2"/>
    <col width="46" customWidth="1" min="3" max="3"/>
    <col width="22" customWidth="1" min="4" max="4"/>
    <col width="22" customWidth="1" min="5" max="5"/>
    <col width="22" customWidth="1" min="6" max="6"/>
    <col width="22" customWidth="1" min="7" max="7"/>
    <col width="38" customWidth="1" min="8" max="8"/>
  </cols>
  <sheetData>
    <row r="1"/>
    <row r="2">
      <c r="B2" s="1" t="inlineStr">
        <is>
          <t>Implementation Register and Management KPIs</t>
        </is>
      </c>
    </row>
    <row r="3">
      <c r="B3" s="2" t="inlineStr">
        <is>
          <t>Assign owners and due dates before qualification orders. Initial targets are control-design assumptions and must be aligned to applicable licences, products, contracts and risk.</t>
        </is>
      </c>
    </row>
    <row r="4"/>
    <row r="5">
      <c r="B5" s="3" t="inlineStr">
        <is>
          <t>MINIMUM SOP REGISTER</t>
        </is>
      </c>
    </row>
    <row r="6">
      <c r="B6" s="4" t="inlineStr">
        <is>
          <t>Group</t>
        </is>
      </c>
      <c r="C6" s="4" t="inlineStr">
        <is>
          <t>SOP / control</t>
        </is>
      </c>
      <c r="D6" s="4" t="inlineStr">
        <is>
          <t>Owner</t>
        </is>
      </c>
      <c r="E6" s="4" t="inlineStr">
        <is>
          <t>Due date</t>
        </is>
      </c>
      <c r="F6" s="4" t="inlineStr">
        <is>
          <t>Status</t>
        </is>
      </c>
      <c r="G6" s="4" t="inlineStr">
        <is>
          <t>Training complete?</t>
        </is>
      </c>
      <c r="H6" s="4" t="inlineStr">
        <is>
          <t>Evidence / next step</t>
        </is>
      </c>
    </row>
    <row r="7">
      <c r="B7" s="5" t="inlineStr">
        <is>
          <t>Governance</t>
        </is>
      </c>
      <c r="C7" s="5" t="inlineStr">
        <is>
          <t>Document control, records and data integrity</t>
        </is>
      </c>
      <c r="D7" s="10" t="n"/>
      <c r="E7" s="10" t="n"/>
      <c r="F7" s="10" t="n"/>
      <c r="G7" s="10" t="n"/>
      <c r="H7" s="10" t="n"/>
    </row>
    <row r="8">
      <c r="B8" s="5" t="inlineStr">
        <is>
          <t>Governance</t>
        </is>
      </c>
      <c r="C8" s="5" t="inlineStr">
        <is>
          <t>Regulatory intelligence and SKU classification / claims review</t>
        </is>
      </c>
      <c r="D8" s="10" t="n"/>
      <c r="E8" s="10" t="n"/>
      <c r="F8" s="10" t="n"/>
      <c r="G8" s="10" t="n"/>
      <c r="H8" s="10" t="n"/>
    </row>
    <row r="9">
      <c r="B9" s="5" t="inlineStr">
        <is>
          <t>Governance</t>
        </is>
      </c>
      <c r="C9" s="5" t="inlineStr">
        <is>
          <t>Licence, permit and counterparty authority verification</t>
        </is>
      </c>
      <c r="D9" s="10" t="n"/>
      <c r="E9" s="10" t="n"/>
      <c r="F9" s="10" t="n"/>
      <c r="G9" s="10" t="n"/>
      <c r="H9" s="10" t="n"/>
    </row>
    <row r="10">
      <c r="B10" s="5" t="inlineStr">
        <is>
          <t>Quality</t>
        </is>
      </c>
      <c r="C10" s="5" t="inlineStr">
        <is>
          <t>Supplier, manufacturer, lab, importer, 3PL, carrier and customer qualification</t>
        </is>
      </c>
      <c r="D10" s="10" t="n"/>
      <c r="E10" s="10" t="n"/>
      <c r="F10" s="10" t="n"/>
      <c r="G10" s="10" t="n"/>
      <c r="H10" s="10" t="n"/>
    </row>
    <row r="11">
      <c r="B11" s="5" t="inlineStr">
        <is>
          <t>Quality</t>
        </is>
      </c>
      <c r="C11" s="5" t="inlineStr">
        <is>
          <t>Specifications, analytical methods, sampling and testing plan</t>
        </is>
      </c>
      <c r="D11" s="10" t="n"/>
      <c r="E11" s="10" t="n"/>
      <c r="F11" s="10" t="n"/>
      <c r="G11" s="10" t="n"/>
      <c r="H11" s="10" t="n"/>
    </row>
    <row r="12">
      <c r="B12" s="5" t="inlineStr">
        <is>
          <t>Quality</t>
        </is>
      </c>
      <c r="C12" s="5" t="inlineStr">
        <is>
          <t>Audit, CAPA, quality agreement and change notification</t>
        </is>
      </c>
      <c r="D12" s="10" t="n"/>
      <c r="E12" s="10" t="n"/>
      <c r="F12" s="10" t="n"/>
      <c r="G12" s="10" t="n"/>
      <c r="H12" s="10" t="n"/>
    </row>
    <row r="13">
      <c r="B13" s="5" t="inlineStr">
        <is>
          <t>Procurement</t>
        </is>
      </c>
      <c r="C13" s="5" t="inlineStr">
        <is>
          <t>PR, RFQ, landed-cost review, PO approval and emergency purchasing</t>
        </is>
      </c>
      <c r="D13" s="10" t="n"/>
      <c r="E13" s="10" t="n"/>
      <c r="F13" s="10" t="n"/>
      <c r="G13" s="10" t="n"/>
      <c r="H13" s="10" t="n"/>
    </row>
    <row r="14">
      <c r="B14" s="5" t="inlineStr">
        <is>
          <t>Finance</t>
        </is>
      </c>
      <c r="C14" s="5" t="inlineStr">
        <is>
          <t>Vendor master, bank verification, fraud and three-way match</t>
        </is>
      </c>
      <c r="D14" s="10" t="n"/>
      <c r="E14" s="10" t="n"/>
      <c r="F14" s="10" t="n"/>
      <c r="G14" s="10" t="n"/>
      <c r="H14" s="10" t="n"/>
    </row>
    <row r="15">
      <c r="B15" s="5" t="inlineStr">
        <is>
          <t>Import</t>
        </is>
      </c>
      <c r="C15" s="5" t="inlineStr">
        <is>
          <t>Customs pre-clearance and green-light-to-ship</t>
        </is>
      </c>
      <c r="D15" s="10" t="n"/>
      <c r="E15" s="10" t="n"/>
      <c r="F15" s="10" t="n"/>
      <c r="G15" s="10" t="n"/>
      <c r="H15" s="10" t="n"/>
    </row>
    <row r="16">
      <c r="B16" s="5" t="inlineStr">
        <is>
          <t>Logistics</t>
        </is>
      </c>
      <c r="C16" s="5" t="inlineStr">
        <is>
          <t>Packaging, logger, lane and carrier qualification</t>
        </is>
      </c>
      <c r="D16" s="10" t="n"/>
      <c r="E16" s="10" t="n"/>
      <c r="F16" s="10" t="n"/>
      <c r="G16" s="10" t="n"/>
      <c r="H16" s="10" t="n"/>
    </row>
    <row r="17">
      <c r="B17" s="5" t="inlineStr">
        <is>
          <t>Logistics</t>
        </is>
      </c>
      <c r="C17" s="5" t="inlineStr">
        <is>
          <t>Chain of custody, security, failed delivery and contingency</t>
        </is>
      </c>
      <c r="D17" s="10" t="n"/>
      <c r="E17" s="10" t="n"/>
      <c r="F17" s="10" t="n"/>
      <c r="G17" s="10" t="n"/>
      <c r="H17" s="10" t="n"/>
    </row>
    <row r="18">
      <c r="B18" s="5" t="inlineStr">
        <is>
          <t>Warehouse</t>
        </is>
      </c>
      <c r="C18" s="5" t="inlineStr">
        <is>
          <t>Receipt, inspection, quarantine and put-away</t>
        </is>
      </c>
      <c r="D18" s="10" t="n"/>
      <c r="E18" s="10" t="n"/>
      <c r="F18" s="10" t="n"/>
      <c r="G18" s="10" t="n"/>
      <c r="H18" s="10" t="n"/>
    </row>
    <row r="19">
      <c r="B19" s="5" t="inlineStr">
        <is>
          <t>Quality</t>
        </is>
      </c>
      <c r="C19" s="5" t="inlineStr">
        <is>
          <t>CoA authentication, testing, OOS/OOT and batch release/rejection</t>
        </is>
      </c>
      <c r="D19" s="10" t="n"/>
      <c r="E19" s="10" t="n"/>
      <c r="F19" s="10" t="n"/>
      <c r="G19" s="10" t="n"/>
      <c r="H19" s="10" t="n"/>
    </row>
    <row r="20">
      <c r="B20" s="5" t="inlineStr">
        <is>
          <t>Warehouse</t>
        </is>
      </c>
      <c r="C20" s="5" t="inlineStr">
        <is>
          <t>Status, location, FEFO, pick, pack, dispatch and proof of delivery</t>
        </is>
      </c>
      <c r="D20" s="10" t="n"/>
      <c r="E20" s="10" t="n"/>
      <c r="F20" s="10" t="n"/>
      <c r="G20" s="10" t="n"/>
      <c r="H20" s="10" t="n"/>
    </row>
    <row r="21">
      <c r="B21" s="5" t="inlineStr">
        <is>
          <t>Warehouse</t>
        </is>
      </c>
      <c r="C21" s="5" t="inlineStr">
        <is>
          <t>Temperature mapping, monitoring, alarm and excursion disposition</t>
        </is>
      </c>
      <c r="D21" s="10" t="n"/>
      <c r="E21" s="10" t="n"/>
      <c r="F21" s="10" t="n"/>
      <c r="G21" s="10" t="n"/>
      <c r="H21" s="10" t="n"/>
    </row>
    <row r="22">
      <c r="B22" s="5" t="inlineStr">
        <is>
          <t>Warehouse</t>
        </is>
      </c>
      <c r="C22" s="5" t="inlineStr">
        <is>
          <t>Demand planning, reorder point, safety stock and S&amp;OP</t>
        </is>
      </c>
      <c r="D22" s="10" t="n"/>
      <c r="E22" s="10" t="n"/>
      <c r="F22" s="10" t="n"/>
      <c r="G22" s="10" t="n"/>
      <c r="H22" s="10" t="n"/>
    </row>
    <row r="23">
      <c r="B23" s="5" t="inlineStr">
        <is>
          <t>Warehouse</t>
        </is>
      </c>
      <c r="C23" s="5" t="inlineStr">
        <is>
          <t>Cycle counts, annual inventory and variance investigation</t>
        </is>
      </c>
      <c r="D23" s="10" t="n"/>
      <c r="E23" s="10" t="n"/>
      <c r="F23" s="10" t="n"/>
      <c r="G23" s="10" t="n"/>
      <c r="H23" s="10" t="n"/>
    </row>
    <row r="24">
      <c r="B24" s="5" t="inlineStr">
        <is>
          <t>Warehouse</t>
        </is>
      </c>
      <c r="C24" s="5" t="inlineStr">
        <is>
          <t>Near-expiry, rejected, obsolete and expired stock</t>
        </is>
      </c>
      <c r="D24" s="10" t="n"/>
      <c r="E24" s="10" t="n"/>
      <c r="F24" s="10" t="n"/>
      <c r="G24" s="10" t="n"/>
      <c r="H24" s="10" t="n"/>
    </row>
    <row r="25">
      <c r="B25" s="5" t="inlineStr">
        <is>
          <t>Quality</t>
        </is>
      </c>
      <c r="C25" s="5" t="inlineStr">
        <is>
          <t>Returns and cold-chain no-restock assessment</t>
        </is>
      </c>
      <c r="D25" s="10" t="n"/>
      <c r="E25" s="10" t="n"/>
      <c r="F25" s="10" t="n"/>
      <c r="G25" s="10" t="n"/>
      <c r="H25" s="10" t="n"/>
    </row>
    <row r="26">
      <c r="B26" s="5" t="inlineStr">
        <is>
          <t>Post-market</t>
        </is>
      </c>
      <c r="C26" s="5" t="inlineStr">
        <is>
          <t>Complaints, defects, falsification and vigilance triage</t>
        </is>
      </c>
      <c r="D26" s="10" t="n"/>
      <c r="E26" s="10" t="n"/>
      <c r="F26" s="10" t="n"/>
      <c r="G26" s="10" t="n"/>
      <c r="H26" s="10" t="n"/>
    </row>
    <row r="27">
      <c r="B27" s="5" t="inlineStr">
        <is>
          <t>Post-market</t>
        </is>
      </c>
      <c r="C27" s="5" t="inlineStr">
        <is>
          <t>Recall, rapid alert and annual mock recall</t>
        </is>
      </c>
      <c r="D27" s="10" t="n"/>
      <c r="E27" s="10" t="n"/>
      <c r="F27" s="10" t="n"/>
      <c r="G27" s="10" t="n"/>
      <c r="H27" s="10" t="n"/>
    </row>
    <row r="28">
      <c r="B28" s="5" t="inlineStr">
        <is>
          <t>Post-market</t>
        </is>
      </c>
      <c r="C28" s="5" t="inlineStr">
        <is>
          <t>Destruction, waste contractor, witness and certificate reconciliation</t>
        </is>
      </c>
      <c r="D28" s="10" t="n"/>
      <c r="E28" s="10" t="n"/>
      <c r="F28" s="10" t="n"/>
      <c r="G28" s="10" t="n"/>
      <c r="H28" s="10" t="n"/>
    </row>
    <row r="29">
      <c r="B29" s="5" t="inlineStr">
        <is>
          <t>Systems</t>
        </is>
      </c>
      <c r="C29" s="5" t="inlineStr">
        <is>
          <t>ERP/WMS validation, access, audit trail, backup and downtime</t>
        </is>
      </c>
      <c r="D29" s="10" t="n"/>
      <c r="E29" s="10" t="n"/>
      <c r="F29" s="10" t="n"/>
      <c r="G29" s="10" t="n"/>
      <c r="H29" s="10" t="n"/>
    </row>
    <row r="30">
      <c r="B30" s="5" t="inlineStr">
        <is>
          <t>Governance</t>
        </is>
      </c>
      <c r="C30" s="5" t="inlineStr">
        <is>
          <t>Training, competency, self-inspection and management review</t>
        </is>
      </c>
      <c r="D30" s="10" t="n"/>
      <c r="E30" s="10" t="n"/>
      <c r="F30" s="10" t="n"/>
      <c r="G30" s="10" t="n"/>
      <c r="H30" s="10" t="n"/>
    </row>
    <row r="31">
      <c r="B31" s="5" t="inlineStr">
        <is>
          <t>Continuity</t>
        </is>
      </c>
      <c r="C31" s="5" t="inlineStr">
        <is>
          <t>Power, cold-room, supplier, lab, forwarder, port and cyber continuity</t>
        </is>
      </c>
      <c r="D31" s="10" t="n"/>
      <c r="E31" s="10" t="n"/>
      <c r="F31" s="10" t="n"/>
      <c r="G31" s="10" t="n"/>
      <c r="H31" s="10" t="n"/>
    </row>
    <row r="32"/>
    <row r="33"/>
    <row r="34">
      <c r="B34" s="3" t="inlineStr">
        <is>
          <t>KPI REGISTER</t>
        </is>
      </c>
    </row>
    <row r="35">
      <c r="B35" s="4" t="inlineStr">
        <is>
          <t>Area</t>
        </is>
      </c>
      <c r="C35" s="4" t="inlineStr">
        <is>
          <t>KPI</t>
        </is>
      </c>
      <c r="D35" s="4" t="inlineStr">
        <is>
          <t>Unit</t>
        </is>
      </c>
      <c r="E35" s="4" t="inlineStr">
        <is>
          <t>Initial target</t>
        </is>
      </c>
      <c r="F35" s="4" t="inlineStr">
        <is>
          <t>Frequency</t>
        </is>
      </c>
      <c r="G35" s="4" t="inlineStr">
        <is>
          <t>Current result</t>
        </is>
      </c>
      <c r="H35" s="4" t="inlineStr">
        <is>
          <t>Status / action</t>
        </is>
      </c>
    </row>
    <row r="36">
      <c r="B36" s="5" t="inlineStr">
        <is>
          <t>Regulatory</t>
        </is>
      </c>
      <c r="C36" s="5" t="inlineStr">
        <is>
          <t>Approved SKU classification before purchase/marketing</t>
        </is>
      </c>
      <c r="D36" s="5" t="inlineStr">
        <is>
          <t>%</t>
        </is>
      </c>
      <c r="E36" s="5" t="inlineStr">
        <is>
          <t>100%</t>
        </is>
      </c>
      <c r="F36" s="5" t="inlineStr">
        <is>
          <t>Monthly</t>
        </is>
      </c>
      <c r="G36" s="10" t="n"/>
      <c r="H36" s="10" t="n"/>
    </row>
    <row r="37">
      <c r="B37" s="5" t="inlineStr">
        <is>
          <t>Supplier</t>
        </is>
      </c>
      <c r="C37" s="5" t="inlineStr">
        <is>
          <t>PO lines from approved supplier-site-product combinations</t>
        </is>
      </c>
      <c r="D37" s="5" t="inlineStr">
        <is>
          <t>%</t>
        </is>
      </c>
      <c r="E37" s="5" t="inlineStr">
        <is>
          <t>100%</t>
        </is>
      </c>
      <c r="F37" s="5" t="inlineStr">
        <is>
          <t>Monthly</t>
        </is>
      </c>
      <c r="G37" s="10" t="n"/>
      <c r="H37" s="10" t="n"/>
    </row>
    <row r="38">
      <c r="B38" s="5" t="inlineStr">
        <is>
          <t>Quality</t>
        </is>
      </c>
      <c r="C38" s="5" t="inlineStr">
        <is>
          <t>Lots received into quarantine and released by authorised Quality</t>
        </is>
      </c>
      <c r="D38" s="5" t="inlineStr">
        <is>
          <t>%</t>
        </is>
      </c>
      <c r="E38" s="5" t="inlineStr">
        <is>
          <t>100%</t>
        </is>
      </c>
      <c r="F38" s="5" t="inlineStr">
        <is>
          <t>Monthly</t>
        </is>
      </c>
      <c r="G38" s="10" t="n"/>
      <c r="H38" s="10" t="n"/>
    </row>
    <row r="39">
      <c r="B39" s="5" t="inlineStr">
        <is>
          <t>Customs</t>
        </is>
      </c>
      <c r="C39" s="5" t="inlineStr">
        <is>
          <t>Shipments pre-cleared before dispatch</t>
        </is>
      </c>
      <c r="D39" s="5" t="inlineStr">
        <is>
          <t>%</t>
        </is>
      </c>
      <c r="E39" s="5" t="inlineStr">
        <is>
          <t>100%</t>
        </is>
      </c>
      <c r="F39" s="5" t="inlineStr">
        <is>
          <t>Per shipment</t>
        </is>
      </c>
      <c r="G39" s="10" t="n"/>
      <c r="H39" s="10" t="n"/>
    </row>
    <row r="40">
      <c r="B40" s="5" t="inlineStr">
        <is>
          <t>Temperature</t>
        </is>
      </c>
      <c r="C40" s="5" t="inlineStr">
        <is>
          <t>Temperature-compliant shipments with complete evidence</t>
        </is>
      </c>
      <c r="D40" s="5" t="inlineStr">
        <is>
          <t>%</t>
        </is>
      </c>
      <c r="E40" s="5" t="inlineStr">
        <is>
          <t>≥99.5%</t>
        </is>
      </c>
      <c r="F40" s="5" t="inlineStr">
        <is>
          <t>Monthly</t>
        </is>
      </c>
      <c r="G40" s="10" t="n"/>
      <c r="H40" s="10" t="n"/>
    </row>
    <row r="41">
      <c r="B41" s="5" t="inlineStr">
        <is>
          <t>Custody</t>
        </is>
      </c>
      <c r="C41" s="5" t="inlineStr">
        <is>
          <t>Required custody handoffs complete</t>
        </is>
      </c>
      <c r="D41" s="5" t="inlineStr">
        <is>
          <t>%</t>
        </is>
      </c>
      <c r="E41" s="5" t="inlineStr">
        <is>
          <t>100%</t>
        </is>
      </c>
      <c r="F41" s="5" t="inlineStr">
        <is>
          <t>Per shipment</t>
        </is>
      </c>
      <c r="G41" s="10" t="n"/>
      <c r="H41" s="10" t="n"/>
    </row>
    <row r="42">
      <c r="B42" s="5" t="inlineStr">
        <is>
          <t>Inventory</t>
        </is>
      </c>
      <c r="C42" s="5" t="inlineStr">
        <is>
          <t>Lot/expiry/location/status completeness</t>
        </is>
      </c>
      <c r="D42" s="5" t="inlineStr">
        <is>
          <t>%</t>
        </is>
      </c>
      <c r="E42" s="5" t="inlineStr">
        <is>
          <t>100%</t>
        </is>
      </c>
      <c r="F42" s="5" t="inlineStr">
        <is>
          <t>Weekly</t>
        </is>
      </c>
      <c r="G42" s="10" t="n"/>
      <c r="H42" s="10" t="n"/>
    </row>
    <row r="43">
      <c r="B43" s="5" t="inlineStr">
        <is>
          <t>Inventory</t>
        </is>
      </c>
      <c r="C43" s="5" t="inlineStr">
        <is>
          <t>Inventory record accuracy</t>
        </is>
      </c>
      <c r="D43" s="5" t="inlineStr">
        <is>
          <t>%</t>
        </is>
      </c>
      <c r="E43" s="5" t="inlineStr">
        <is>
          <t>≥99.5%; controlled stock 100%</t>
        </is>
      </c>
      <c r="F43" s="5" t="inlineStr">
        <is>
          <t>Monthly</t>
        </is>
      </c>
      <c r="G43" s="10" t="n"/>
      <c r="H43" s="10" t="n"/>
    </row>
    <row r="44">
      <c r="B44" s="5" t="inlineStr">
        <is>
          <t>Inventory</t>
        </is>
      </c>
      <c r="C44" s="5" t="inlineStr">
        <is>
          <t>FEFO compliance</t>
        </is>
      </c>
      <c r="D44" s="5" t="inlineStr">
        <is>
          <t>%</t>
        </is>
      </c>
      <c r="E44" s="5" t="inlineStr">
        <is>
          <t>≥99.5%</t>
        </is>
      </c>
      <c r="F44" s="5" t="inlineStr">
        <is>
          <t>Monthly</t>
        </is>
      </c>
      <c r="G44" s="10" t="n"/>
      <c r="H44" s="10" t="n"/>
    </row>
    <row r="45">
      <c r="B45" s="5" t="inlineStr">
        <is>
          <t>Traceability</t>
        </is>
      </c>
      <c r="C45" s="5" t="inlineStr">
        <is>
          <t>Mock-recall lot-to-customer/on-hand response</t>
        </is>
      </c>
      <c r="D45" s="5" t="inlineStr">
        <is>
          <t>Hours</t>
        </is>
      </c>
      <c r="E45" s="5" t="inlineStr">
        <is>
          <t>≤2 hours internal target</t>
        </is>
      </c>
      <c r="F45" s="5" t="inlineStr">
        <is>
          <t>Annual/quarterly test</t>
        </is>
      </c>
      <c r="G45" s="10" t="n"/>
      <c r="H45" s="10" t="n"/>
    </row>
    <row r="46">
      <c r="B46" s="5" t="inlineStr">
        <is>
          <t>Expiry</t>
        </is>
      </c>
      <c r="C46" s="5" t="inlineStr">
        <is>
          <t>Expiry write-off / average inventory value</t>
        </is>
      </c>
      <c r="D46" s="5" t="inlineStr">
        <is>
          <t>%</t>
        </is>
      </c>
      <c r="E46" s="5" t="inlineStr">
        <is>
          <t>Baseline, then ≤1% planning target</t>
        </is>
      </c>
      <c r="F46" s="5" t="inlineStr">
        <is>
          <t>Monthly</t>
        </is>
      </c>
      <c r="G46" s="10" t="n"/>
      <c r="H46" s="10" t="n"/>
    </row>
    <row r="47">
      <c r="B47" s="5" t="inlineStr">
        <is>
          <t>Delivery</t>
        </is>
      </c>
      <c r="C47" s="5" t="inlineStr">
        <is>
          <t>On-time-in-full</t>
        </is>
      </c>
      <c r="D47" s="5" t="inlineStr">
        <is>
          <t>%</t>
        </is>
      </c>
      <c r="E47" s="5" t="inlineStr">
        <is>
          <t>≥98% overall</t>
        </is>
      </c>
      <c r="F47" s="5" t="inlineStr">
        <is>
          <t>Monthly</t>
        </is>
      </c>
      <c r="G47" s="10" t="n"/>
      <c r="H47" s="10" t="n"/>
    </row>
    <row r="48">
      <c r="B48" s="5" t="inlineStr">
        <is>
          <t>Returns</t>
        </is>
      </c>
      <c r="C48" s="5" t="inlineStr">
        <is>
          <t>Returns quarantined and authorised before disposition</t>
        </is>
      </c>
      <c r="D48" s="5" t="inlineStr">
        <is>
          <t>%</t>
        </is>
      </c>
      <c r="E48" s="5" t="inlineStr">
        <is>
          <t>100%</t>
        </is>
      </c>
      <c r="F48" s="5" t="inlineStr">
        <is>
          <t>Monthly</t>
        </is>
      </c>
      <c r="G48" s="10" t="n"/>
      <c r="H48" s="10" t="n"/>
    </row>
    <row r="49">
      <c r="B49" s="5" t="inlineStr">
        <is>
          <t>CAPA</t>
        </is>
      </c>
      <c r="C49" s="5" t="inlineStr">
        <is>
          <t>Critical overdue CAPAs</t>
        </is>
      </c>
      <c r="D49" s="5" t="inlineStr">
        <is>
          <t>Count</t>
        </is>
      </c>
      <c r="E49" s="5" t="inlineStr">
        <is>
          <t>0</t>
        </is>
      </c>
      <c r="F49" s="5" t="inlineStr">
        <is>
          <t>Weekly</t>
        </is>
      </c>
      <c r="G49" s="10" t="n"/>
      <c r="H49" s="10" t="n"/>
    </row>
    <row r="50">
      <c r="B50" s="5" t="inlineStr">
        <is>
          <t>Training</t>
        </is>
      </c>
      <c r="C50" s="5" t="inlineStr">
        <is>
          <t>Role-required training current</t>
        </is>
      </c>
      <c r="D50" s="5" t="inlineStr">
        <is>
          <t>%</t>
        </is>
      </c>
      <c r="E50" s="5" t="inlineStr">
        <is>
          <t>100%</t>
        </is>
      </c>
      <c r="F50" s="5" t="inlineStr">
        <is>
          <t>Monthly</t>
        </is>
      </c>
      <c r="G50" s="10" t="n"/>
      <c r="H50" s="10" t="n"/>
    </row>
  </sheetData>
  <dataValidations count="2">
    <dataValidation sqref="F7:F31" showDropDown="0" showInputMessage="0" showErrorMessage="0" allowBlank="0" type="list">
      <formula1>"Not started,Drafting,Approved,Effective,Overdue"</formula1>
    </dataValidation>
    <dataValidation sqref="G7:G31" showDropDown="0" showInputMessage="0" showErrorMessage="0" allowBlank="0" type="list">
      <formula1>"Yes,No,Not applicable"</formula1>
    </dataValidation>
  </dataValidations>
  <pageMargins left="0.75" right="0.75" top="1" bottom="1" header="0.5" footer="0.5"/>
  <pageSetup fitToHeight="0" fitToWidth="1"/>
  <headerFooter>
    <oddHeader/>
    <oddFooter>&amp;CGeorge Operations Control Workbook | Prepared 18 August 2026</oddFooter>
    <evenHeader/>
    <evenFooter/>
    <firstHeader/>
    <firstFooter/>
  </headerFooter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2026-08-18T13:57:07Z</dcterms:created>
  <dcterms:modified xmlns:dcterms="http://purl.org/dc/terms/" xmlns:xsi="http://www.w3.org/2001/XMLSchema-instance" xsi:type="dcterms:W3CDTF">2026-08-18T13:57:09Z</dcterms:modified>
</cp:coreProperties>
</file>